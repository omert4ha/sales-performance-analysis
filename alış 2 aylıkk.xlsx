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n\Masaüstü\"/>
    </mc:Choice>
  </mc:AlternateContent>
  <xr:revisionPtr revIDLastSave="0" documentId="13_ncr:1000001_{E372C1BC-046F-7E43-BEB5-B47EEF09AA5C}" xr6:coauthVersionLast="47" xr6:coauthVersionMax="47" xr10:uidLastSave="{00000000-0000-0000-0000-000000000000}"/>
  <bookViews>
    <workbookView xWindow="0" yWindow="0" windowWidth="24000" windowHeight="9660" xr2:uid="{00000000-000D-0000-FFFF-FFFF00000000}"/>
  </bookViews>
  <sheets>
    <sheet name="alış 2 aylı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V25" i="1"/>
  <c r="V30" i="1"/>
  <c r="V36" i="1"/>
  <c r="V38" i="1"/>
  <c r="V53" i="1"/>
  <c r="S62" i="1"/>
  <c r="V63" i="1"/>
  <c r="V75" i="1"/>
  <c r="V85" i="1"/>
  <c r="S106" i="1"/>
</calcChain>
</file>

<file path=xl/sharedStrings.xml><?xml version="1.0" encoding="utf-8"?>
<sst xmlns="http://schemas.openxmlformats.org/spreadsheetml/2006/main" count="1396" uniqueCount="369">
  <si>
    <t>Fatura Tarihi</t>
  </si>
  <si>
    <t>Fatura Saati</t>
  </si>
  <si>
    <t>Genel Toplam</t>
  </si>
  <si>
    <t>Pazarlama Personeli</t>
  </si>
  <si>
    <t>Cari Kodu</t>
  </si>
  <si>
    <t>İptal</t>
  </si>
  <si>
    <t>Ticari Unvanı</t>
  </si>
  <si>
    <t>Fatura No</t>
  </si>
  <si>
    <t>Yetkilisi</t>
  </si>
  <si>
    <t>İlçesi</t>
  </si>
  <si>
    <t>İli</t>
  </si>
  <si>
    <t>Ülkesi</t>
  </si>
  <si>
    <t>Fatura Seri</t>
  </si>
  <si>
    <t>Vadesi</t>
  </si>
  <si>
    <t>Ara Toplam</t>
  </si>
  <si>
    <t>Tevkifat Tutarı</t>
  </si>
  <si>
    <t>KF Durumu</t>
  </si>
  <si>
    <t>Açıklama</t>
  </si>
  <si>
    <t>Grubu</t>
  </si>
  <si>
    <t>Vergi Dairesi</t>
  </si>
  <si>
    <t>Vergi No</t>
  </si>
  <si>
    <t>Ek Bilgi 1</t>
  </si>
  <si>
    <t>Ek Bilgi 2</t>
  </si>
  <si>
    <t>Sevk Tanımı</t>
  </si>
  <si>
    <t>Miktar 1 Toplam</t>
  </si>
  <si>
    <t>Miktar 2 Toplam</t>
  </si>
  <si>
    <t>Cari İskontosu</t>
  </si>
  <si>
    <t>İskonto 1</t>
  </si>
  <si>
    <t>İskonto 2</t>
  </si>
  <si>
    <t>İskonto 3</t>
  </si>
  <si>
    <t>Stok Iskontosu</t>
  </si>
  <si>
    <t>Özel Iskonto</t>
  </si>
  <si>
    <t>İskonto Alt 1</t>
  </si>
  <si>
    <t>İskonto Alt 2</t>
  </si>
  <si>
    <t>Toplam Iskonto</t>
  </si>
  <si>
    <t>Ek Kesintiler</t>
  </si>
  <si>
    <t>ÖTV Tutarı</t>
  </si>
  <si>
    <t>ÖİV Tutarı</t>
  </si>
  <si>
    <t>Fatura Tipi</t>
  </si>
  <si>
    <t>Şube Kodu</t>
  </si>
  <si>
    <t>Kargo Firması</t>
  </si>
  <si>
    <t>Kargo No</t>
  </si>
  <si>
    <t>Kargo Tarihi</t>
  </si>
  <si>
    <t>Kargo Saati</t>
  </si>
  <si>
    <t>Bilg.Kodu</t>
  </si>
  <si>
    <t>Kaydeden</t>
  </si>
  <si>
    <t>Kayıt Tarihi</t>
  </si>
  <si>
    <t>Kayıt Saati</t>
  </si>
  <si>
    <t>Değiştiren</t>
  </si>
  <si>
    <t>Değiştirme Tarihi</t>
  </si>
  <si>
    <t>Değiştirme Saati</t>
  </si>
  <si>
    <t>Mail</t>
  </si>
  <si>
    <t>CR00022</t>
  </si>
  <si>
    <t>Hayır</t>
  </si>
  <si>
    <t>SİNEM BAYAN GİYİM SAN.VE TİC.LTD.ŞTİ.</t>
  </si>
  <si>
    <t>BLY2025000000018</t>
  </si>
  <si>
    <t xml:space="preserve">BELLEY </t>
  </si>
  <si>
    <t>Şişli</t>
  </si>
  <si>
    <t>İstanbul</t>
  </si>
  <si>
    <t>TÜRKİYE</t>
  </si>
  <si>
    <t>BELLEY 156,BELLEY 156,BELLEY 156,BELLEY 156,BELLEY 107,BELLEY 107,BELLEY 107,BELLEY 107,BELLEY 109,B</t>
  </si>
  <si>
    <t>MECİDİYEKÖY</t>
  </si>
  <si>
    <t>Fatura</t>
  </si>
  <si>
    <t>SYSDBA</t>
  </si>
  <si>
    <t>CR00619</t>
  </si>
  <si>
    <t>SARAH KONFEKSİYON İNŞAAT TEKSTİL GIDA MOB.SAN.VE TİC.AŞ.</t>
  </si>
  <si>
    <t>YGF2025000000012</t>
  </si>
  <si>
    <t xml:space="preserve">KAYRA </t>
  </si>
  <si>
    <t>Çankaya</t>
  </si>
  <si>
    <t>ANKARA</t>
  </si>
  <si>
    <t>KAYRA KOLE,KAYRA KOLE</t>
  </si>
  <si>
    <t>BAŞKENT</t>
  </si>
  <si>
    <t>CR00015</t>
  </si>
  <si>
    <t>EKOL GİYİM SAN.TİC.LTD.ŞTİ.</t>
  </si>
  <si>
    <t>YGF2025000000013</t>
  </si>
  <si>
    <t xml:space="preserve"> </t>
  </si>
  <si>
    <t>ÇANKAYA</t>
  </si>
  <si>
    <t>Ankara</t>
  </si>
  <si>
    <t xml:space="preserve">EKOL 7059 ,EKOL 7583 </t>
  </si>
  <si>
    <t>CR12758</t>
  </si>
  <si>
    <t>GÖKTAŞ GİYİM TİC.VE SAN.LTD.ŞTİ.</t>
  </si>
  <si>
    <t>YGF2025000000014</t>
  </si>
  <si>
    <t xml:space="preserve">GHİSA </t>
  </si>
  <si>
    <t>GHİSA 3861</t>
  </si>
  <si>
    <t>MİTHATPAŞA</t>
  </si>
  <si>
    <t>CR00047</t>
  </si>
  <si>
    <t>ÖMÜR INN KONFEKSİYON TURİZM TEKSTİL İTH.İHT.SAN.VE TİC.A.Ş</t>
  </si>
  <si>
    <t>OMI2025000000188</t>
  </si>
  <si>
    <t>ÇANAKKALE</t>
  </si>
  <si>
    <t>Çanakkale</t>
  </si>
  <si>
    <t>ÖMÜR İNN 0,ÖMÜR İNN 5,ÖMÜR İNN 5,ÖMÜR İNN 5,ÖMÜR İNN 5</t>
  </si>
  <si>
    <t>CR00760</t>
  </si>
  <si>
    <t>BURHAN ÇAVDARLI</t>
  </si>
  <si>
    <t>BURHAN ÇAVDARLI FASHION NIGHT</t>
  </si>
  <si>
    <t>CR00013</t>
  </si>
  <si>
    <t>ALFABETA TEKSTİL HAZIR GİYİM TİCARET LTD.ŞTİ.</t>
  </si>
  <si>
    <t>ALF2025000000175</t>
  </si>
  <si>
    <t xml:space="preserve">ALFABETA </t>
  </si>
  <si>
    <t>A.B 6370 T,A.B 6370 T,A.B 6370 T,A.B 6550 T,A.B 6550 T,A.B 6550 T,A.B 6550 T,A.B 6789 B,A.B 6789 B,A</t>
  </si>
  <si>
    <t xml:space="preserve">ŞİŞLİ </t>
  </si>
  <si>
    <t>CR00042</t>
  </si>
  <si>
    <t>FAVELLA SALİM KARACAKURTOĞLU</t>
  </si>
  <si>
    <t>FVL2025000000065</t>
  </si>
  <si>
    <t xml:space="preserve">FAVELLA SALİM KARACAKURTOĞLU </t>
  </si>
  <si>
    <t>ŞİŞLİ</t>
  </si>
  <si>
    <t>FAVELLA 70,FAVELLA 70,FAVELLA 70,FAVELLA 71,FAVELLA 71,FAVELLA 71,FAVELLA 71,FAVELLA 71,FAVELLA 71,F</t>
  </si>
  <si>
    <t>CR00792</t>
  </si>
  <si>
    <t>ZÜHRE TEKSTİL İNŞ.SAN.VE TİC.A.Ş</t>
  </si>
  <si>
    <t>YGF2025000000015</t>
  </si>
  <si>
    <t>Bağcılar</t>
  </si>
  <si>
    <t>ZHR YAKASI</t>
  </si>
  <si>
    <t>GÜNEŞLİ</t>
  </si>
  <si>
    <t>CR00199</t>
  </si>
  <si>
    <t>ONTEKS TEKSTİL SAN.TİC.LTD.ŞTİ.</t>
  </si>
  <si>
    <t>YGF2025000000016</t>
  </si>
  <si>
    <t xml:space="preserve">ON TRİKO </t>
  </si>
  <si>
    <t>ON TRİKO Y</t>
  </si>
  <si>
    <t>CR00023</t>
  </si>
  <si>
    <t>ÇİKO TEKSTİL SAN.VE TİC.LTD.ŞTİ.</t>
  </si>
  <si>
    <t>YGF2025000000017</t>
  </si>
  <si>
    <t xml:space="preserve">SENTEZ </t>
  </si>
  <si>
    <t>BALGAT</t>
  </si>
  <si>
    <t>153 SENTEZ</t>
  </si>
  <si>
    <t>FVL2025000000087</t>
  </si>
  <si>
    <t>FAVELLA 70,FAVELLA 70,FAVELLA 70,FAVELLA 70,FAVELLA 70,FAVELLA 70,FAVELLA 70,FAVELLA 70,FAVELLA 70</t>
  </si>
  <si>
    <t>EKL2025000000252</t>
  </si>
  <si>
    <t xml:space="preserve">EKOL YAKA </t>
  </si>
  <si>
    <t>CR20749</t>
  </si>
  <si>
    <t>URHAN TURİZM TEKS. SAN VE TİC.LTD.ŞTİ.</t>
  </si>
  <si>
    <t>URH2025000000040</t>
  </si>
  <si>
    <t>URHAN TURİZM TEKSTİL PROMLACE</t>
  </si>
  <si>
    <t>Merkez</t>
  </si>
  <si>
    <t>PROMLACE 4,PROMLACE 4</t>
  </si>
  <si>
    <t>CR00622</t>
  </si>
  <si>
    <t>HİSARLILAR TEKSTİL SAN.VE TİC.A.Ş</t>
  </si>
  <si>
    <t>HSR2025000000073</t>
  </si>
  <si>
    <t xml:space="preserve">DORİDORCA </t>
  </si>
  <si>
    <t>D.D 3012 S,D.D 3012 S,D.D 3012 S,D.D 3012 S,D.D 3012 S,D.D 3012 S,D.D 7026 K,D.D 7026 K,D.D 7026 K,D</t>
  </si>
  <si>
    <t>YGF2025000000018</t>
  </si>
  <si>
    <t>FAVELLA 71,FAVELLA 71,FAVELLA 71,FAVELLA 71,FAVELLA 71,FAVELLA 71,FAVELLA 71,FAVELLA 71,FAVELLA 71</t>
  </si>
  <si>
    <t>CKT2025000000235</t>
  </si>
  <si>
    <t>153 SENTEZ,153 SENTEZ,153 SENTEZ,153 SENTEZ,153 SENTEZ,153 SENTEZ,153 SENTEZ,153 SENTEZ,153 SENTEZ,1</t>
  </si>
  <si>
    <t>YGF2025000000019</t>
  </si>
  <si>
    <t xml:space="preserve">EKOL 7583 </t>
  </si>
  <si>
    <t>ONT2025000000528</t>
  </si>
  <si>
    <t>CR01685</t>
  </si>
  <si>
    <t>PANEL TEKSTİL SAN.VE TİC.LTD.ŞTİ.</t>
  </si>
  <si>
    <t>PNO2025000000048</t>
  </si>
  <si>
    <t xml:space="preserve">TWOMAİL </t>
  </si>
  <si>
    <t>Altındağ</t>
  </si>
  <si>
    <t>T.MAİL BON</t>
  </si>
  <si>
    <t>KIZILBEY</t>
  </si>
  <si>
    <t>CR21227</t>
  </si>
  <si>
    <t>İpekyol Giyim San. Paz. Ve Tic. A.Ş.</t>
  </si>
  <si>
    <t>İPK2025000000615</t>
  </si>
  <si>
    <t xml:space="preserve">İPEKYOL </t>
  </si>
  <si>
    <t>İPK 2024 B,İPK 2024 B,İPK 2025 M,İPK 2025 M</t>
  </si>
  <si>
    <t>BOĞAZİÇİ</t>
  </si>
  <si>
    <t>IPK2025000000616</t>
  </si>
  <si>
    <t>İPK 70059 ,İPK 70059 ,İPK 70059 ,İPK 70059 ,İPK 70059 ,İPK 70059 ,İPK 2020 P,İPK 2020 P,İPK 3143 Y,İ</t>
  </si>
  <si>
    <t>KYR2025000000266</t>
  </si>
  <si>
    <t>ALF2025000000356</t>
  </si>
  <si>
    <t>A.B 6814 İ,A.B 6814 İ,A.B 6814 İ,A.B 6950 K,A.B 7018 F,A.B 7018 F,A.B 7018 F</t>
  </si>
  <si>
    <t>İPL2025000000121</t>
  </si>
  <si>
    <t>İPK 2242 Y,İPK 2242 Y</t>
  </si>
  <si>
    <t>İPK2025000000599</t>
  </si>
  <si>
    <t>YANSITMA F</t>
  </si>
  <si>
    <t>YGF2025000000020</t>
  </si>
  <si>
    <t>KAYRA 2730</t>
  </si>
  <si>
    <t>İPL2025000000120</t>
  </si>
  <si>
    <t>İPK 18019 ,İPK 18019 ,İPK 18019 ,İPK 5077 Ü,İPK 5077 Ü,İPK 70096 ,İPK 6015 T</t>
  </si>
  <si>
    <t>ALF2025000000405</t>
  </si>
  <si>
    <t>A.B 6915 T,A.B 6915 T,A.B 6915 T,A.B 6915 T,A.B 7077 S</t>
  </si>
  <si>
    <t>YGF2025000000021</t>
  </si>
  <si>
    <t>EKOL BEL K,EKOL ÇIT Ç</t>
  </si>
  <si>
    <t>SAT2025000000907</t>
  </si>
  <si>
    <t>GHİSA 3058,GHİSA 3058,GHİSA 3070,GHİSA 3070,GHİSA 3076,GHİSA 3076,GHİSA 3081,GHİSA 3081,GHİSA 3087,G</t>
  </si>
  <si>
    <t>CR01264</t>
  </si>
  <si>
    <t>İLAYDA TEKSTİL TUH.OTO GIDA TUR.TAŞ.TUR.SAN.TİC.LTD.ŞTİ.</t>
  </si>
  <si>
    <t>MSS2025000000094</t>
  </si>
  <si>
    <t xml:space="preserve">MÜSEMMA  </t>
  </si>
  <si>
    <t>Keçiören</t>
  </si>
  <si>
    <t>MSM TEK CE,MSM TEK CE,MSM TEK CE,MSM TEK CE,MSM DESENL,MSM DESENL,MSM DESENL,MSM DESENL,MSM DESENL,M</t>
  </si>
  <si>
    <t>DIŞKAPI</t>
  </si>
  <si>
    <t>İPK2025000000089</t>
  </si>
  <si>
    <t xml:space="preserve">İPK 21001 </t>
  </si>
  <si>
    <t>İPK2025000000090</t>
  </si>
  <si>
    <t>İPK 3247 B,İPK 3247 B,İPK 3247 B,İPK 3247 B,İPK 3247 B,İPK 3247 B,İPK 3247 B,İPK 3247 B,İPK 3247 B,İ</t>
  </si>
  <si>
    <t>ALF2025000000417</t>
  </si>
  <si>
    <t>A.B 6929 O,A.B 6929 O,A.B 6929 O,A.B 7020 K,A.B 7020 K</t>
  </si>
  <si>
    <t>EKL2025000000458</t>
  </si>
  <si>
    <t>EKOL 2064 ,EKOL 2064 ,EKOL 2064 ,EKOL 2064 ,EKOL 2064 ,EKOL 2064 ,EKOL 2064 ,EKOL 2064 ,EKOL 2064 ,E</t>
  </si>
  <si>
    <t>ALF2025000000447</t>
  </si>
  <si>
    <t>A.B 6370 T,A.B 6370 T,A.B 6370 T,A.B 6610 Ö,A.B 6610 Ö,A.B 6610 Ö,A.B 6610 Ö,A.B 6880 İ,A.B 6880 İ,A</t>
  </si>
  <si>
    <t>OMI2025000000358</t>
  </si>
  <si>
    <t>ÖMÜR İNN 4,ÖMÜR İNN 4</t>
  </si>
  <si>
    <t>SAT2025000000951</t>
  </si>
  <si>
    <t>GHİSA 3058,GHİSA 3058</t>
  </si>
  <si>
    <t>CR00117</t>
  </si>
  <si>
    <t>DERİNSTORE TEKSTİL İNŞ.OTO.SAN.VE TİC.LTD.ŞTİ.</t>
  </si>
  <si>
    <t>DRN2025000000091</t>
  </si>
  <si>
    <t>Selçuklu</t>
  </si>
  <si>
    <t>Konya</t>
  </si>
  <si>
    <t>DERİN S. 2,DERİN S. 2,DERİN S. 2,DERİN S. 2,DERİN S. 7,DERİN S. 7,DERİN S. 7,DERİN S. 7,DERİN S. 6,D</t>
  </si>
  <si>
    <t>SELÇUK</t>
  </si>
  <si>
    <t>YGF2025000000022</t>
  </si>
  <si>
    <t>GHİSA 3058</t>
  </si>
  <si>
    <t>ZHR2025000000574</t>
  </si>
  <si>
    <t xml:space="preserve">ZÜHRE İÇİ </t>
  </si>
  <si>
    <t>İPK2025000000751</t>
  </si>
  <si>
    <t>İPK 5187 S,İPK 5187 S,İPK 5187 S,İPK 5187 S,İPK 5187 S,İPK 5187 S,İPK 5187 S,İPK 5187 S,İPK 5187 S,İ</t>
  </si>
  <si>
    <t>İPK2025000000750</t>
  </si>
  <si>
    <t>İPK 2025 M,İPK 3248 Y,İPK 3248 Y,İPK 3248 Y,İPK 3248 Y,İPK 5238 T,İPK 5238 T,İPK 5238 T,İPK 5238 T,İ</t>
  </si>
  <si>
    <t>EKL2025000000634</t>
  </si>
  <si>
    <t>EKOL 5074 ,EKOL 5074 ,EKOL 5074 ,EKOL 2012 ,EKOL 2012 ,EKOL 2012 ,EKOL 2012 ,EKOL 2028 ,EKOL 2028 ,E</t>
  </si>
  <si>
    <t>SAT2025000001257</t>
  </si>
  <si>
    <t>GHİSA 3950,GHİSA 3950,GHİSA 4960,GHİSA 4960,GHİSA 4968,GHİSA 4968,GHİSA 2673,GHİSA 2673,GHİSA 2679,G</t>
  </si>
  <si>
    <t>İPK2025000000179</t>
  </si>
  <si>
    <t>İPK 5124 Ç,İPK 5124 Ç,İPK 5124 Ç,İPK 5124 Ç,İPK 5124 Ç,İPK 5124 Ç,İPK 5124 Ç,İPK 5124 Ç,İPK 5124 Ç,İ</t>
  </si>
  <si>
    <t>CR00012</t>
  </si>
  <si>
    <t>MODA İLGİ KONFEKSİYON İML.SAN.VE TİC.LTD.ŞTİ.</t>
  </si>
  <si>
    <t>MI02025000000427</t>
  </si>
  <si>
    <t>M.İ 70022 ,M.İ 70022 ,M.İ 70022 ,M.İ 70022 ,M.İ 70022 ,M.İ 40022 ,M.İ 40022 ,M.İ 40022 ,M.İ 40022 ,M</t>
  </si>
  <si>
    <t>CKT2025000000508</t>
  </si>
  <si>
    <t>MSS2025000000169</t>
  </si>
  <si>
    <t>MSM ŞERİT ,MSM ŞERİT ,MSM ŞERİT ,MSM ŞERİT ,MSM ÇITÇIT,MSM ÇITÇIT,MSM ÇITÇIT,MSM ÇITÇIT,MSM TORBA ,M</t>
  </si>
  <si>
    <t>EKL20250000000660</t>
  </si>
  <si>
    <t>EKOL 3642 ,EKOL 3642 ,EKOL 3642 ,EKOL 3642 ,EKOL 2190 ,EKOL 2190 ,EKOL 3350 ,EKOL 3350 ,EKOL 3350 ,E</t>
  </si>
  <si>
    <t>ALF2025000000566</t>
  </si>
  <si>
    <t>A.B 6994 H,A.B 6994 H,A.B 7020 Ö,A.B 7020 Ö,A.B 7020 Ö,A.B 7020 Ö,A.B 7079 S,A.B 7079 S,A.B 7079 S,A</t>
  </si>
  <si>
    <t>ZHR2025000000702</t>
  </si>
  <si>
    <t>KURYE KARG</t>
  </si>
  <si>
    <t>ZHR2025000000713</t>
  </si>
  <si>
    <t>ZÜHRE TK-1,ZÜHRE TK-1,ZÜHRE TK-1,ZÜHRE TK-1,ZÜHRE TK-1,ZÜHRE TK-1,ZÜHRE TK-1,ZÜHRE TK-1</t>
  </si>
  <si>
    <t>BLY2025000000046</t>
  </si>
  <si>
    <t>BELLEY 109,BELLEY 109,BELLEY 109,BELLEY 109,BELLEY 109,BELLEY 109,BELLEY 109,BELLEY 109,BELLEY 113,B</t>
  </si>
  <si>
    <t>CR00037</t>
  </si>
  <si>
    <t>BERİN KONFEKSİYON SAN.VE TİC. A.Ş</t>
  </si>
  <si>
    <t>YGF2025000000023</t>
  </si>
  <si>
    <t>Konak</t>
  </si>
  <si>
    <t>İzmir</t>
  </si>
  <si>
    <t>BERİN MANŞ</t>
  </si>
  <si>
    <t>KONAK</t>
  </si>
  <si>
    <t>belging_kan@hotmail.com</t>
  </si>
  <si>
    <t>YGF2025000000024</t>
  </si>
  <si>
    <t>FAVELLA 70</t>
  </si>
  <si>
    <t>İPK2025000000808</t>
  </si>
  <si>
    <t xml:space="preserve">İPK 3248 T,İPK 3248 T,İPK 3248 T,İPK 3248 T,İPK 6161  ,İPK 6161  ,İPK 6161  ,İPK 6161  </t>
  </si>
  <si>
    <t>İPK2025000000809</t>
  </si>
  <si>
    <t>İPK 3242 B,İPK 3242 B,İPK 3242 B,İPK 3242 B,İPK 1018 B,İPK 5231 D,İPK 5231 D,İPK 5231 D,İPK 5231 D,İ</t>
  </si>
  <si>
    <t>EKL2025000000780</t>
  </si>
  <si>
    <t>EKOL 3650 ,EKOL 3650 ,EKOL 3650 ,EKOL 3650 ,EKOL 3650 ,EKOL 3650 ,EKOL 3650 ,EKOL 3650 ,EKOL 4218 ,E</t>
  </si>
  <si>
    <t>CR21229</t>
  </si>
  <si>
    <t>ITX TURKEY PERAKENDE ITHALAT IHRACAT VE TICARET LIMITED</t>
  </si>
  <si>
    <t>YGF2025000000025</t>
  </si>
  <si>
    <t>Beşiktaş</t>
  </si>
  <si>
    <t>Büyük Mükellefler</t>
  </si>
  <si>
    <t>ALF2025000000638</t>
  </si>
  <si>
    <t>A.B 6893 S,A.B 6893 S,A.B 6893 S,A.B 7112 P,A.B 7112 P,A.B 7112 P</t>
  </si>
  <si>
    <t>MI02025000000485</t>
  </si>
  <si>
    <t>M.İ 7597 O,M.İ 7597 O,M.İ 7597 O,M.İ 7597 O,M.İ 7597 O,M.İ 4697 Y,M.İ 4697 Y,M.İ 4697 Y,M.İ 4697 Y,M</t>
  </si>
  <si>
    <t>EKL2025000000915</t>
  </si>
  <si>
    <t>EKOL 3962 ,EKOL 3962 ,EKOL 3962 ,EKOL 3962 ,EKOL 4016 ,EKOL 4016 ,EKOL 4016 ,EKOL 4016 ,EKOL 4016 ,E</t>
  </si>
  <si>
    <t>HSR2025000000162</t>
  </si>
  <si>
    <t>D.D 6069 S,D.D 6069 S,D.D 6069 S,D.D 7026 K,D.D 7026 K,D.D 7026 K,D.D 6149 S,D.D 6149 S,D.D 6149 S,D</t>
  </si>
  <si>
    <t>İPK2025000000872</t>
  </si>
  <si>
    <t>İPK 3237 B,İPK 3237 B,İPK 3237 B,İPK 3237 B,İPK 5236 T,İPK 5236 T,İPK 3218 Ö,İPK 3218 Ö,İPK 3218 Ö,İ</t>
  </si>
  <si>
    <t>FVL2025000000178</t>
  </si>
  <si>
    <t>FAVELLA 71,FAVELLA 71,FAVELLA 71,FAVELLA 71,FAVELLA 71,FAVELLA 71,FAVELLA 71,FAVELLA 71,FAVELLA 71,F</t>
  </si>
  <si>
    <t>İPK2025000000871</t>
  </si>
  <si>
    <t>İPK 5233 V,İPK 5233 V,İPK 5233 V,İPK 5233 V,İPK 5179 T,İPK 5179 T,İPK 5179 T,İPK 5179 T,İPK 5179 T,İ</t>
  </si>
  <si>
    <t>YGF2025000000026</t>
  </si>
  <si>
    <t>YGF2025000000027</t>
  </si>
  <si>
    <t>KAYRA YAKA</t>
  </si>
  <si>
    <t>YGF2025000000028</t>
  </si>
  <si>
    <t>GHİSA 4401</t>
  </si>
  <si>
    <t>YGF2025000000029</t>
  </si>
  <si>
    <t>CKT2025000000641</t>
  </si>
  <si>
    <t>SNTZ COLMA,SNTZ COLMA,SNTZ COLMA,SNTZ COLMA,SNTZ COLMA,SNTZ COLMA,SNTZ COLMA,SNTZ COLMA,SNTZ COLMA,S</t>
  </si>
  <si>
    <t>ALF2025000000700</t>
  </si>
  <si>
    <t>A.B 6904 P,A.B 6904 P,A.B 6904 P,A.B 6904 P</t>
  </si>
  <si>
    <t>MSS2025000000279</t>
  </si>
  <si>
    <t>MSM YAKASI,MSM YAKASI,MSM YAKASI,MSM YAKASI,MSM TAŞ ŞE,MSM TAŞ ŞE,MSM TAŞ ŞE,MSM TAŞ YA,MSM TAŞ YA,M</t>
  </si>
  <si>
    <t>URH2025000000054</t>
  </si>
  <si>
    <t>PROMLACE 0,PROMLACE 0,PROMLACE 0,PROMLACE 0</t>
  </si>
  <si>
    <t>MI02025000000550</t>
  </si>
  <si>
    <t xml:space="preserve">M.İ 60080 ,M.İ 60080 ,M.İ 60080 ,M.İ 60080 ,MÇİ 60076 ,MÇİ 60076 ,MÇİ 60076 ,MÇİ 60076 </t>
  </si>
  <si>
    <t>İPK2025000000931</t>
  </si>
  <si>
    <t>İPK 2463 G,İPK 2463 G,İPK 2463 G,İPK 2463 G,İPK 2463 G</t>
  </si>
  <si>
    <t>İPK2025000000998</t>
  </si>
  <si>
    <t>EKL2025000001130</t>
  </si>
  <si>
    <t>EKOL 5926 ,EKOL 5926 ,EKOL BB 59,EKOL BB 59,EKOL BB 59,EKOL BB 59,EKOL BB 75,EKOL BB 75,EKOL BB 75,E</t>
  </si>
  <si>
    <t>BLY2025000000055</t>
  </si>
  <si>
    <t>BELLEY 114,BELLEY 114,BELLEY 114,BELLEY 114</t>
  </si>
  <si>
    <t>MI02025000000625</t>
  </si>
  <si>
    <t xml:space="preserve">M.İ 60015 ,M.İ 60015 ,M.İ 60015 ,M.İ 60015 ,M.İ 60015 ,GLD 80016 ,GLD 80016 ,GLD 80016 ,GLD 80016 </t>
  </si>
  <si>
    <t>YGF2025000000030</t>
  </si>
  <si>
    <t>GHİSA 3952,GHİSA 3952,GHİSA 3952,GHİSA 4830,GHİSA 4830,GHİSA 4830,GHİSA 4830,GHİSA 4079,GHİSA 4079,G</t>
  </si>
  <si>
    <t>CR00936</t>
  </si>
  <si>
    <t>AKERLER TEKSTİL TİC.VE SAN.A.Ş</t>
  </si>
  <si>
    <t>YGF2025000000031</t>
  </si>
  <si>
    <t>AKER PARLA,AKER PARLA,AKER PARLA,AKER PARLA,AKER PARLA,AKER PARLA,AKER PARLA,AKER PARLA,AKER PARLA,A</t>
  </si>
  <si>
    <t>BOĞAZİÇİ KURUMLAR</t>
  </si>
  <si>
    <t>YGF2025000000032</t>
  </si>
  <si>
    <t xml:space="preserve">EKOL 7021 </t>
  </si>
  <si>
    <t>MSS2025000000311</t>
  </si>
  <si>
    <t>MSM CEP KA,MSM CEP KA,MSM CEP KA,MSM CEP KA</t>
  </si>
  <si>
    <t>MSS2025000000312</t>
  </si>
  <si>
    <t>MÜSEMMA 00,MÜSEMMA 00,MÜSEMMA 00,MÜSEMMA 00,MÜSEMMA 00,MÜSEMMA 00,MÜSEMMA 00,MÜSEMMA 00,MÜSEMMA 00,M</t>
  </si>
  <si>
    <t>MI02024000000715</t>
  </si>
  <si>
    <t>M.İ 75001 ,M.İ 75001 ,M.İ 75001 ,M.İ 75001 ,M.İ 75001 ,M.İ 45001 ,M.İ 45001 ,M.İ 45001 ,M.İ 45001 ,M</t>
  </si>
  <si>
    <t>EKL2025000001394</t>
  </si>
  <si>
    <t>EKOL 2108 ,EKOL 2108 ,EKOL 2108 ,EKOL 2108 ,EKOL 3912 ,EKOL 3912 ,EKOL 3948 ,EKOL 3948 ,EKOL 3948 ,E</t>
  </si>
  <si>
    <t>YGF2025000000033</t>
  </si>
  <si>
    <t>MSM ÇITÇIT,MSM ÇITÇIT,MSM ÇITÇIT,MSM ÇITÇIT,MSM BONCUK,MSM BONCUK,MSM BONCUK,MSM YAKASI,MSM RENKLİ,M</t>
  </si>
  <si>
    <t>KYR2025000001122</t>
  </si>
  <si>
    <t>AF01254</t>
  </si>
  <si>
    <t>DERİN S. 6,DERİN S. 6,DERİN S. 6,DERİN S. 6,DERİN S. 6,DERİN S. 6,DERİN S. 7,DERİN S. 7,DERİN S. 7,D</t>
  </si>
  <si>
    <t>FVL2025000000238</t>
  </si>
  <si>
    <t>FAVELLA 71,FAVELLA 71,FAVELLA 71,FAVELLA 71,FAVELLA 71,FAVELLA 71,FAVELLA 70,FAVELLA 70,FAVELLA 70,F</t>
  </si>
  <si>
    <t>CR02585</t>
  </si>
  <si>
    <t>TOLSAR KONF.GİY.SAN.VE TİC.LTD.ŞTİ.</t>
  </si>
  <si>
    <t>FTS2025000000157</t>
  </si>
  <si>
    <t xml:space="preserve">TOLGA SARAÇOĞLU </t>
  </si>
  <si>
    <t>Bornova</t>
  </si>
  <si>
    <t>T.S 30245 ,T.S 30245 ,T.S 30245 ,T.S 30250 ,T.S 30250 ,T.S 30250 ,T.S 30250 ,T.S 30046 ,T.S 30046 ,T</t>
  </si>
  <si>
    <t>EGE</t>
  </si>
  <si>
    <t>CR20362</t>
  </si>
  <si>
    <t xml:space="preserve">PLATİN KUYUMCU GIDA İNŞAAT TEKSTİL DERİ SAN. VE TİC LTD. ŞTİ. </t>
  </si>
  <si>
    <t>PLT2025000000064</t>
  </si>
  <si>
    <t xml:space="preserve">DE VİB </t>
  </si>
  <si>
    <t>FATİH</t>
  </si>
  <si>
    <t>İSTANBUL</t>
  </si>
  <si>
    <t>DE VİB 255,DE VİB 255,DE VİB 253,DE VİB 254,DE VİB 254,DE VİB 253,DE VİB 253,DE VİB 253,DE VİB 254,D</t>
  </si>
  <si>
    <t xml:space="preserve">BEYAZIT </t>
  </si>
  <si>
    <t>YGF2025000000034</t>
  </si>
  <si>
    <t>BELLEY 109,BELLEY 109,BELLEY 109,BELLEY 109,BELLEY 109,BELLEY 109,BELLEY 109,BELLEY 109,BELLEY 107,B</t>
  </si>
  <si>
    <t>EKL2025000001618</t>
  </si>
  <si>
    <t>EKOL 2050 ,EKOL 2050 ,EKOL 2050 ,EKOL 2050 ,EKOL BB 45,EKOL BB 45,EKOL BB 45,EKOL BB 45,EKOL 4018 ,E</t>
  </si>
  <si>
    <t>MI02025000000824</t>
  </si>
  <si>
    <t>M.İ 0264 Y,M.İ 0264 Y,M.İ 0264 Y,M.İ 0264 Y,M.İ 3041 Ş,M.İ 3041 Ş,M.İ 3041 Ş,M.İ 3041 Ş,M.İ 15075 ,M</t>
  </si>
  <si>
    <t>?????</t>
  </si>
  <si>
    <t>FNR2025000000219</t>
  </si>
  <si>
    <t>F.N 5570 T,F.N 5570 T,F.N 5570 T,F.N 5570 T,F.N 5570 T,F.N 5570 T,F.N 5570 T,F.N 5570 T,F.N 5570 T,F</t>
  </si>
  <si>
    <t>KYR2025000001305</t>
  </si>
  <si>
    <t>CR00054</t>
  </si>
  <si>
    <t>EFRAZE TRİKO TEKS.SAN.VE TİC.LTD.ŞTİ.</t>
  </si>
  <si>
    <t>YGF2025000000035</t>
  </si>
  <si>
    <t>Bayrampaşa</t>
  </si>
  <si>
    <t>EFR 462 LO</t>
  </si>
  <si>
    <t>BAYRAMPAŞA</t>
  </si>
  <si>
    <t>CR19886</t>
  </si>
  <si>
    <t>SELESTE HAZIR GİYİM SAN. VE TİC. LTD. ŞTİ.</t>
  </si>
  <si>
    <t>YGF2025000000036</t>
  </si>
  <si>
    <t>SELESTE ÇE</t>
  </si>
  <si>
    <t xml:space="preserve">MECİDİYEKÖY </t>
  </si>
  <si>
    <t>EKL2025000001776</t>
  </si>
  <si>
    <t>EKOL 3094 ,EKOL 3094 ,EKOL 3094 ,EKOL 3094 ,EKOL 6506 ,EKOL 6506 ,EKOL 6506 ,EKOL 6506 ,EKOL 6508 ,E</t>
  </si>
  <si>
    <t>ZHR2025000001373</t>
  </si>
  <si>
    <t>EKL2025000001733</t>
  </si>
  <si>
    <t>YGF2025000000037</t>
  </si>
  <si>
    <t xml:space="preserve">M.İ 6645 K,M.İ 6645 K,M.İ 6645 K,M.İ 6645 K,M.İ 6645 K,MÇİ 60076 ,MÇİ 60076 ,MÇİ 60076 ,MÇİ 60076 </t>
  </si>
  <si>
    <t>YGF2025000000038</t>
  </si>
  <si>
    <t>BELLEY 107,BELLEY 107</t>
  </si>
  <si>
    <t>YGF2025000000039</t>
  </si>
  <si>
    <t>SZ-5569 KE</t>
  </si>
  <si>
    <t>YGF2025000000040</t>
  </si>
  <si>
    <t>İPK 3219 V,İPK 3219 V</t>
  </si>
  <si>
    <t>YGF2025000000041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</si>
</sst>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2"/>
  <sheetViews>
    <sheetView tabSelected="1" topLeftCell="A54" workbookViewId="0">
      <selection activeCell="P67" sqref="P67"/>
    </sheetView>
  </sheetViews>
  <sheetFormatPr defaultRowHeight="15" x14ac:dyDescent="0.2"/>
  <cols>
    <col min="1" max="1" width="14.2578125" customWidth="1"/>
    <col min="3" max="3" width="13.85546875" customWidth="1"/>
    <col min="6" max="6" width="8.47265625" customWidth="1"/>
    <col min="7" max="7" width="27.84375" customWidth="1"/>
    <col min="8" max="8" width="22.59765625" customWidth="1"/>
    <col min="14" max="14" width="14.125" customWidth="1"/>
    <col min="16" max="16" width="16.94921875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">
      <c r="A2" s="1">
        <v>45692</v>
      </c>
      <c r="B2" s="2">
        <v>0.7104166666666667</v>
      </c>
      <c r="C2" s="3">
        <v>78078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N2" s="1">
        <v>45692</v>
      </c>
      <c r="O2" s="2">
        <v>0</v>
      </c>
      <c r="P2" s="3">
        <v>70980</v>
      </c>
      <c r="Q2">
        <v>0</v>
      </c>
      <c r="S2" t="s">
        <v>60</v>
      </c>
      <c r="U2" t="s">
        <v>61</v>
      </c>
      <c r="V2">
        <v>7710000152</v>
      </c>
      <c r="Z2">
        <v>12</v>
      </c>
      <c r="AA2">
        <v>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62</v>
      </c>
      <c r="AT2">
        <v>46880</v>
      </c>
      <c r="AU2" t="s">
        <v>63</v>
      </c>
      <c r="AV2" s="1">
        <v>45703</v>
      </c>
      <c r="AW2" s="2">
        <v>0.7104166666666667</v>
      </c>
    </row>
    <row r="3" spans="1:53" x14ac:dyDescent="0.2">
      <c r="A3" s="1">
        <v>45694</v>
      </c>
      <c r="B3" s="2">
        <v>0.49236111111111108</v>
      </c>
      <c r="C3" s="3">
        <v>4399.5200000000004</v>
      </c>
      <c r="E3" t="s">
        <v>64</v>
      </c>
      <c r="F3" t="s">
        <v>53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59</v>
      </c>
      <c r="N3" s="1">
        <v>45694</v>
      </c>
      <c r="O3" s="2">
        <v>0</v>
      </c>
      <c r="P3" s="3">
        <v>3999.56</v>
      </c>
      <c r="Q3">
        <v>0</v>
      </c>
      <c r="S3" t="s">
        <v>70</v>
      </c>
      <c r="U3" t="s">
        <v>71</v>
      </c>
      <c r="V3">
        <v>7450420635</v>
      </c>
      <c r="Z3">
        <v>2</v>
      </c>
      <c r="AA3">
        <v>2</v>
      </c>
      <c r="AB3">
        <v>0</v>
      </c>
      <c r="AC3">
        <v>444.4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444.4</v>
      </c>
      <c r="AK3">
        <v>0</v>
      </c>
      <c r="AL3">
        <v>0</v>
      </c>
      <c r="AM3">
        <v>0</v>
      </c>
      <c r="AN3" t="s">
        <v>62</v>
      </c>
      <c r="AT3">
        <v>46719</v>
      </c>
      <c r="AU3" t="s">
        <v>63</v>
      </c>
      <c r="AV3" s="1">
        <v>45694</v>
      </c>
      <c r="AW3" s="2">
        <v>0.49236111111111108</v>
      </c>
    </row>
    <row r="4" spans="1:53" x14ac:dyDescent="0.2">
      <c r="A4" s="1">
        <v>45694</v>
      </c>
      <c r="B4" s="2">
        <v>0.50624999999999998</v>
      </c>
      <c r="C4" s="3">
        <v>6434.01</v>
      </c>
      <c r="E4" t="s">
        <v>72</v>
      </c>
      <c r="F4" t="s">
        <v>53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59</v>
      </c>
      <c r="N4" s="1">
        <v>45694</v>
      </c>
      <c r="O4" s="2">
        <v>0</v>
      </c>
      <c r="P4" s="3">
        <v>5849.1</v>
      </c>
      <c r="Q4">
        <v>0</v>
      </c>
      <c r="S4" t="s">
        <v>78</v>
      </c>
      <c r="U4" t="s">
        <v>71</v>
      </c>
      <c r="V4">
        <v>3300010805</v>
      </c>
      <c r="Z4">
        <v>2</v>
      </c>
      <c r="AA4">
        <v>2</v>
      </c>
      <c r="AB4">
        <v>0</v>
      </c>
      <c r="AC4">
        <v>649.9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649.9</v>
      </c>
      <c r="AK4">
        <v>0</v>
      </c>
      <c r="AL4">
        <v>0</v>
      </c>
      <c r="AM4">
        <v>0</v>
      </c>
      <c r="AN4" t="s">
        <v>62</v>
      </c>
      <c r="AT4">
        <v>46720</v>
      </c>
      <c r="AU4" t="s">
        <v>63</v>
      </c>
      <c r="AV4" s="1">
        <v>45694</v>
      </c>
      <c r="AW4" s="2">
        <v>0.50624999999999998</v>
      </c>
    </row>
    <row r="5" spans="1:53" x14ac:dyDescent="0.2">
      <c r="A5" s="1">
        <v>45694</v>
      </c>
      <c r="B5" s="2">
        <v>0.51597222222222217</v>
      </c>
      <c r="C5" s="3">
        <v>2475</v>
      </c>
      <c r="E5" t="s">
        <v>79</v>
      </c>
      <c r="F5" t="s">
        <v>53</v>
      </c>
      <c r="G5" t="s">
        <v>80</v>
      </c>
      <c r="H5" t="s">
        <v>81</v>
      </c>
      <c r="I5" t="s">
        <v>82</v>
      </c>
      <c r="J5" t="s">
        <v>68</v>
      </c>
      <c r="K5" t="s">
        <v>77</v>
      </c>
      <c r="L5" t="s">
        <v>59</v>
      </c>
      <c r="N5" s="1">
        <v>45694</v>
      </c>
      <c r="O5" s="2">
        <v>0</v>
      </c>
      <c r="P5" s="3">
        <v>2250</v>
      </c>
      <c r="Q5">
        <v>0</v>
      </c>
      <c r="S5" t="s">
        <v>83</v>
      </c>
      <c r="U5" t="s">
        <v>84</v>
      </c>
      <c r="V5">
        <v>4060032834</v>
      </c>
      <c r="Z5">
        <v>1</v>
      </c>
      <c r="AA5">
        <v>1</v>
      </c>
      <c r="AB5">
        <v>0</v>
      </c>
      <c r="AC5">
        <v>250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250</v>
      </c>
      <c r="AK5">
        <v>0</v>
      </c>
      <c r="AL5">
        <v>0</v>
      </c>
      <c r="AM5">
        <v>0</v>
      </c>
      <c r="AN5" t="s">
        <v>62</v>
      </c>
      <c r="AT5">
        <v>46721</v>
      </c>
      <c r="AU5" t="s">
        <v>63</v>
      </c>
      <c r="AV5" s="1">
        <v>45694</v>
      </c>
      <c r="AW5" s="2">
        <v>0.51597222222222217</v>
      </c>
    </row>
    <row r="6" spans="1:53" x14ac:dyDescent="0.2">
      <c r="A6" s="1">
        <v>45694</v>
      </c>
      <c r="B6" s="2">
        <v>0.58472222222222225</v>
      </c>
      <c r="C6" s="3">
        <v>37699.199999999997</v>
      </c>
      <c r="E6" t="s">
        <v>85</v>
      </c>
      <c r="F6" t="s">
        <v>53</v>
      </c>
      <c r="G6" t="s">
        <v>86</v>
      </c>
      <c r="H6" t="s">
        <v>87</v>
      </c>
      <c r="I6" t="s">
        <v>75</v>
      </c>
      <c r="J6" t="s">
        <v>88</v>
      </c>
      <c r="K6" t="s">
        <v>89</v>
      </c>
      <c r="L6" t="s">
        <v>59</v>
      </c>
      <c r="N6" s="1">
        <v>45694</v>
      </c>
      <c r="O6" s="2">
        <v>0</v>
      </c>
      <c r="P6" s="3">
        <v>34272</v>
      </c>
      <c r="Q6">
        <v>0</v>
      </c>
      <c r="S6" t="s">
        <v>90</v>
      </c>
      <c r="U6" t="s">
        <v>88</v>
      </c>
      <c r="V6">
        <v>6550441143</v>
      </c>
      <c r="Z6">
        <v>5</v>
      </c>
      <c r="AA6">
        <v>5</v>
      </c>
      <c r="AB6">
        <v>0</v>
      </c>
      <c r="AC6" s="3">
        <v>6048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3">
        <v>6048</v>
      </c>
      <c r="AK6">
        <v>0</v>
      </c>
      <c r="AL6">
        <v>0</v>
      </c>
      <c r="AM6">
        <v>0</v>
      </c>
      <c r="AN6" t="s">
        <v>62</v>
      </c>
      <c r="AT6">
        <v>47024</v>
      </c>
      <c r="AU6" t="s">
        <v>63</v>
      </c>
      <c r="AV6" s="1">
        <v>45715</v>
      </c>
      <c r="AW6" s="2">
        <v>0.58472222222222225</v>
      </c>
    </row>
    <row r="7" spans="1:53" x14ac:dyDescent="0.2">
      <c r="A7" s="1">
        <v>45694</v>
      </c>
      <c r="B7" s="2">
        <v>0.62291666666666667</v>
      </c>
      <c r="C7" s="3">
        <v>37699.199999999997</v>
      </c>
      <c r="E7" t="s">
        <v>91</v>
      </c>
      <c r="F7" t="s">
        <v>53</v>
      </c>
      <c r="G7" t="s">
        <v>92</v>
      </c>
      <c r="H7" t="s">
        <v>87</v>
      </c>
      <c r="I7" t="s">
        <v>93</v>
      </c>
      <c r="J7" t="s">
        <v>57</v>
      </c>
      <c r="K7" t="s">
        <v>58</v>
      </c>
      <c r="L7" t="s">
        <v>59</v>
      </c>
      <c r="N7" s="1">
        <v>45694</v>
      </c>
      <c r="O7" s="2">
        <v>0</v>
      </c>
      <c r="P7" s="3">
        <v>34272</v>
      </c>
      <c r="Q7">
        <v>0</v>
      </c>
      <c r="S7" t="s">
        <v>90</v>
      </c>
      <c r="U7" t="s">
        <v>61</v>
      </c>
      <c r="V7">
        <v>11828604066</v>
      </c>
      <c r="Z7">
        <v>5</v>
      </c>
      <c r="AA7">
        <v>5</v>
      </c>
      <c r="AB7">
        <v>0</v>
      </c>
      <c r="AC7" s="3">
        <v>6048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3">
        <v>6048</v>
      </c>
      <c r="AK7">
        <v>0</v>
      </c>
      <c r="AL7">
        <v>0</v>
      </c>
      <c r="AM7">
        <v>0</v>
      </c>
      <c r="AN7" t="s">
        <v>62</v>
      </c>
      <c r="AT7">
        <v>46839</v>
      </c>
      <c r="AU7" t="s">
        <v>63</v>
      </c>
      <c r="AV7" s="1">
        <v>45702</v>
      </c>
      <c r="AW7" s="2">
        <v>0.62291666666666667</v>
      </c>
    </row>
    <row r="8" spans="1:53" x14ac:dyDescent="0.2">
      <c r="A8" s="1">
        <v>45694</v>
      </c>
      <c r="B8" s="2">
        <v>0.62430555555555556</v>
      </c>
      <c r="C8" s="3">
        <v>219309.75</v>
      </c>
      <c r="E8" t="s">
        <v>94</v>
      </c>
      <c r="F8" t="s">
        <v>53</v>
      </c>
      <c r="G8" t="s">
        <v>95</v>
      </c>
      <c r="H8" t="s">
        <v>96</v>
      </c>
      <c r="I8" t="s">
        <v>97</v>
      </c>
      <c r="J8" t="s">
        <v>57</v>
      </c>
      <c r="K8" t="s">
        <v>58</v>
      </c>
      <c r="L8" t="s">
        <v>59</v>
      </c>
      <c r="N8" s="1">
        <v>45694</v>
      </c>
      <c r="O8" s="2">
        <v>0</v>
      </c>
      <c r="P8" s="3">
        <v>199372.5</v>
      </c>
      <c r="Q8">
        <v>0</v>
      </c>
      <c r="S8" t="s">
        <v>98</v>
      </c>
      <c r="U8" t="s">
        <v>99</v>
      </c>
      <c r="V8" t="str">
        <f>"0510252318"</f>
        <v>0510252318</v>
      </c>
      <c r="Z8">
        <v>28</v>
      </c>
      <c r="AA8">
        <v>28</v>
      </c>
      <c r="AB8">
        <v>0</v>
      </c>
      <c r="AC8" s="3">
        <v>22152.5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3">
        <v>22152.5</v>
      </c>
      <c r="AK8">
        <v>0</v>
      </c>
      <c r="AL8">
        <v>0</v>
      </c>
      <c r="AM8">
        <v>0</v>
      </c>
      <c r="AN8" t="s">
        <v>62</v>
      </c>
      <c r="AT8">
        <v>46841</v>
      </c>
      <c r="AU8" t="s">
        <v>63</v>
      </c>
      <c r="AV8" s="1">
        <v>45702</v>
      </c>
      <c r="AW8" s="2">
        <v>0.62430555555555556</v>
      </c>
    </row>
    <row r="9" spans="1:53" x14ac:dyDescent="0.2">
      <c r="A9" s="1">
        <v>45695</v>
      </c>
      <c r="B9" s="2">
        <v>0.58402777777777781</v>
      </c>
      <c r="C9" s="3">
        <v>38280</v>
      </c>
      <c r="E9" t="s">
        <v>100</v>
      </c>
      <c r="F9" t="s">
        <v>53</v>
      </c>
      <c r="G9" t="s">
        <v>101</v>
      </c>
      <c r="H9" t="s">
        <v>102</v>
      </c>
      <c r="I9" t="s">
        <v>103</v>
      </c>
      <c r="J9" t="s">
        <v>104</v>
      </c>
      <c r="K9" t="s">
        <v>58</v>
      </c>
      <c r="L9" t="s">
        <v>59</v>
      </c>
      <c r="N9" s="1">
        <v>45695</v>
      </c>
      <c r="O9" s="2">
        <v>0</v>
      </c>
      <c r="P9" s="3">
        <v>34800</v>
      </c>
      <c r="Q9">
        <v>0</v>
      </c>
      <c r="S9" t="s">
        <v>105</v>
      </c>
      <c r="U9" t="s">
        <v>61</v>
      </c>
      <c r="V9">
        <v>34528396314</v>
      </c>
      <c r="Z9">
        <v>12</v>
      </c>
      <c r="AA9">
        <v>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62</v>
      </c>
      <c r="AT9">
        <v>46907</v>
      </c>
      <c r="AU9" t="s">
        <v>63</v>
      </c>
      <c r="AV9" s="1">
        <v>45705</v>
      </c>
      <c r="AW9" s="2">
        <v>0.58402777777777781</v>
      </c>
    </row>
    <row r="10" spans="1:53" x14ac:dyDescent="0.2">
      <c r="A10" s="1">
        <v>45700</v>
      </c>
      <c r="B10" s="2">
        <v>0.63750000000000007</v>
      </c>
      <c r="C10" s="3">
        <v>3187.8</v>
      </c>
      <c r="E10" t="s">
        <v>106</v>
      </c>
      <c r="F10" t="s">
        <v>53</v>
      </c>
      <c r="G10" t="s">
        <v>107</v>
      </c>
      <c r="H10" t="s">
        <v>108</v>
      </c>
      <c r="I10" t="s">
        <v>75</v>
      </c>
      <c r="J10" t="s">
        <v>109</v>
      </c>
      <c r="K10" t="s">
        <v>58</v>
      </c>
      <c r="L10" t="s">
        <v>59</v>
      </c>
      <c r="N10" s="1">
        <v>45700</v>
      </c>
      <c r="O10" s="2">
        <v>0</v>
      </c>
      <c r="P10" s="3">
        <v>2898</v>
      </c>
      <c r="Q10">
        <v>0</v>
      </c>
      <c r="S10" t="s">
        <v>110</v>
      </c>
      <c r="U10" t="s">
        <v>111</v>
      </c>
      <c r="V10">
        <v>9990519300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62</v>
      </c>
      <c r="AT10">
        <v>46822</v>
      </c>
      <c r="AU10" t="s">
        <v>63</v>
      </c>
      <c r="AV10" s="1">
        <v>45700</v>
      </c>
      <c r="AW10" s="2">
        <v>0.63750000000000007</v>
      </c>
    </row>
    <row r="11" spans="1:53" x14ac:dyDescent="0.2">
      <c r="A11" s="1">
        <v>45701</v>
      </c>
      <c r="B11" s="2">
        <v>0.50277777777777777</v>
      </c>
      <c r="C11" s="3">
        <v>1484.51</v>
      </c>
      <c r="E11" t="s">
        <v>112</v>
      </c>
      <c r="F11" t="s">
        <v>53</v>
      </c>
      <c r="G11" t="s">
        <v>113</v>
      </c>
      <c r="H11" t="s">
        <v>114</v>
      </c>
      <c r="I11" t="s">
        <v>115</v>
      </c>
      <c r="J11" t="s">
        <v>68</v>
      </c>
      <c r="K11" t="s">
        <v>77</v>
      </c>
      <c r="L11" t="s">
        <v>59</v>
      </c>
      <c r="N11" s="1">
        <v>45701</v>
      </c>
      <c r="O11" s="2">
        <v>0</v>
      </c>
      <c r="P11" s="3">
        <v>1349.55</v>
      </c>
      <c r="Q11">
        <v>0</v>
      </c>
      <c r="S11" t="s">
        <v>116</v>
      </c>
      <c r="U11" t="s">
        <v>71</v>
      </c>
      <c r="V11">
        <v>4540127542</v>
      </c>
      <c r="Z11">
        <v>1</v>
      </c>
      <c r="AA11">
        <v>1</v>
      </c>
      <c r="AB11">
        <v>0</v>
      </c>
      <c r="AC11">
        <v>149.94999999999999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149.94999999999999</v>
      </c>
      <c r="AK11">
        <v>0</v>
      </c>
      <c r="AL11">
        <v>0</v>
      </c>
      <c r="AM11">
        <v>0</v>
      </c>
      <c r="AN11" t="s">
        <v>62</v>
      </c>
      <c r="AT11">
        <v>46828</v>
      </c>
      <c r="AU11" t="s">
        <v>63</v>
      </c>
      <c r="AV11" s="1">
        <v>45701</v>
      </c>
      <c r="AW11" s="2">
        <v>0.50277777777777777</v>
      </c>
    </row>
    <row r="12" spans="1:53" x14ac:dyDescent="0.2">
      <c r="A12" s="1">
        <v>45701</v>
      </c>
      <c r="B12" s="2">
        <v>0.50555555555555554</v>
      </c>
      <c r="C12">
        <v>767.25</v>
      </c>
      <c r="E12" t="s">
        <v>117</v>
      </c>
      <c r="F12" t="s">
        <v>53</v>
      </c>
      <c r="G12" t="s">
        <v>118</v>
      </c>
      <c r="H12" t="s">
        <v>119</v>
      </c>
      <c r="I12" t="s">
        <v>120</v>
      </c>
      <c r="J12" t="s">
        <v>121</v>
      </c>
      <c r="K12" t="s">
        <v>77</v>
      </c>
      <c r="L12" t="s">
        <v>59</v>
      </c>
      <c r="N12" s="1">
        <v>45701</v>
      </c>
      <c r="O12" s="2">
        <v>0</v>
      </c>
      <c r="P12">
        <v>697.5</v>
      </c>
      <c r="Q12">
        <v>0</v>
      </c>
      <c r="S12" t="s">
        <v>122</v>
      </c>
      <c r="U12" t="s">
        <v>71</v>
      </c>
      <c r="V12">
        <v>2560064195</v>
      </c>
      <c r="Z12">
        <v>1</v>
      </c>
      <c r="AA12">
        <v>1</v>
      </c>
      <c r="AB12">
        <v>0</v>
      </c>
      <c r="AC12">
        <v>77.5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77.5</v>
      </c>
      <c r="AK12">
        <v>0</v>
      </c>
      <c r="AL12">
        <v>0</v>
      </c>
      <c r="AM12">
        <v>0</v>
      </c>
      <c r="AN12" t="s">
        <v>62</v>
      </c>
      <c r="AT12">
        <v>46829</v>
      </c>
      <c r="AU12" t="s">
        <v>63</v>
      </c>
      <c r="AV12" s="1">
        <v>45701</v>
      </c>
      <c r="AW12" s="2">
        <v>0.50555555555555554</v>
      </c>
    </row>
    <row r="13" spans="1:53" x14ac:dyDescent="0.2">
      <c r="A13" s="1">
        <v>45701</v>
      </c>
      <c r="B13" s="2">
        <v>0.64027777777777783</v>
      </c>
      <c r="C13" s="3">
        <v>36630</v>
      </c>
      <c r="E13" t="s">
        <v>100</v>
      </c>
      <c r="F13" t="s">
        <v>53</v>
      </c>
      <c r="G13" t="s">
        <v>101</v>
      </c>
      <c r="H13" t="s">
        <v>123</v>
      </c>
      <c r="I13" t="s">
        <v>103</v>
      </c>
      <c r="J13" t="s">
        <v>104</v>
      </c>
      <c r="K13" t="s">
        <v>58</v>
      </c>
      <c r="L13" t="s">
        <v>59</v>
      </c>
      <c r="N13" s="1">
        <v>45701</v>
      </c>
      <c r="O13" s="2">
        <v>0</v>
      </c>
      <c r="P13" s="3">
        <v>33300</v>
      </c>
      <c r="Q13">
        <v>0</v>
      </c>
      <c r="S13" t="s">
        <v>124</v>
      </c>
      <c r="U13" t="s">
        <v>61</v>
      </c>
      <c r="V13">
        <v>34528396314</v>
      </c>
      <c r="Z13">
        <v>15</v>
      </c>
      <c r="AA13">
        <v>15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 t="s">
        <v>62</v>
      </c>
      <c r="AT13">
        <v>47230</v>
      </c>
      <c r="AU13" t="s">
        <v>63</v>
      </c>
      <c r="AV13" s="1">
        <v>45730</v>
      </c>
      <c r="AW13" s="2">
        <v>0.64027777777777783</v>
      </c>
      <c r="AX13" t="s">
        <v>63</v>
      </c>
      <c r="AY13" s="1">
        <v>45730</v>
      </c>
      <c r="AZ13" s="2">
        <v>0.64166666666666672</v>
      </c>
    </row>
    <row r="14" spans="1:53" x14ac:dyDescent="0.2">
      <c r="A14" s="1">
        <v>45701</v>
      </c>
      <c r="B14" s="2">
        <v>0.71319444444444446</v>
      </c>
      <c r="C14" s="3">
        <v>4454.51</v>
      </c>
      <c r="E14" t="s">
        <v>72</v>
      </c>
      <c r="F14" t="s">
        <v>53</v>
      </c>
      <c r="G14" t="s">
        <v>73</v>
      </c>
      <c r="H14" t="s">
        <v>125</v>
      </c>
      <c r="I14" t="s">
        <v>75</v>
      </c>
      <c r="J14" t="s">
        <v>76</v>
      </c>
      <c r="K14" t="s">
        <v>77</v>
      </c>
      <c r="L14" t="s">
        <v>59</v>
      </c>
      <c r="N14" s="1">
        <v>45701</v>
      </c>
      <c r="O14" s="2">
        <v>0</v>
      </c>
      <c r="P14" s="3">
        <v>4049.55</v>
      </c>
      <c r="Q14">
        <v>0</v>
      </c>
      <c r="S14" t="s">
        <v>126</v>
      </c>
      <c r="U14" t="s">
        <v>71</v>
      </c>
      <c r="V14">
        <v>3300010805</v>
      </c>
      <c r="Z14">
        <v>1</v>
      </c>
      <c r="AA14">
        <v>1</v>
      </c>
      <c r="AB14">
        <v>0</v>
      </c>
      <c r="AC14">
        <v>449.95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449.95</v>
      </c>
      <c r="AK14">
        <v>0</v>
      </c>
      <c r="AL14">
        <v>0</v>
      </c>
      <c r="AM14">
        <v>0</v>
      </c>
      <c r="AN14" t="s">
        <v>62</v>
      </c>
      <c r="AT14">
        <v>46881</v>
      </c>
      <c r="AU14" t="s">
        <v>63</v>
      </c>
      <c r="AV14" s="1">
        <v>45703</v>
      </c>
      <c r="AW14" s="2">
        <v>0.71319444444444446</v>
      </c>
    </row>
    <row r="15" spans="1:53" x14ac:dyDescent="0.2">
      <c r="A15" s="1">
        <v>45705</v>
      </c>
      <c r="B15" s="2">
        <v>0.46597222222222223</v>
      </c>
      <c r="C15" s="3">
        <v>10846</v>
      </c>
      <c r="E15" t="s">
        <v>127</v>
      </c>
      <c r="F15" t="s">
        <v>53</v>
      </c>
      <c r="G15" t="s">
        <v>128</v>
      </c>
      <c r="H15" t="s">
        <v>129</v>
      </c>
      <c r="I15" t="s">
        <v>130</v>
      </c>
      <c r="J15" t="s">
        <v>131</v>
      </c>
      <c r="K15" t="s">
        <v>89</v>
      </c>
      <c r="L15" t="s">
        <v>59</v>
      </c>
      <c r="N15" s="1">
        <v>45705</v>
      </c>
      <c r="O15" s="2">
        <v>0</v>
      </c>
      <c r="P15" s="3">
        <v>9860</v>
      </c>
      <c r="Q15">
        <v>0</v>
      </c>
      <c r="S15" t="s">
        <v>132</v>
      </c>
      <c r="U15" t="s">
        <v>88</v>
      </c>
      <c r="V15">
        <v>8940636882</v>
      </c>
      <c r="Z15">
        <v>2</v>
      </c>
      <c r="AA15">
        <v>2</v>
      </c>
      <c r="AB15">
        <v>0</v>
      </c>
      <c r="AC15" s="3">
        <v>1740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3">
        <v>1740</v>
      </c>
      <c r="AK15">
        <v>0</v>
      </c>
      <c r="AL15">
        <v>0</v>
      </c>
      <c r="AM15">
        <v>0</v>
      </c>
      <c r="AN15" t="s">
        <v>62</v>
      </c>
      <c r="AT15">
        <v>47012</v>
      </c>
      <c r="AU15" t="s">
        <v>63</v>
      </c>
      <c r="AV15" s="1">
        <v>45715</v>
      </c>
      <c r="AW15" s="2">
        <v>0.46597222222222223</v>
      </c>
    </row>
    <row r="16" spans="1:53" x14ac:dyDescent="0.2">
      <c r="A16" s="1">
        <v>45705</v>
      </c>
      <c r="B16" s="2">
        <v>0.54027777777777775</v>
      </c>
      <c r="C16" s="3">
        <v>291258</v>
      </c>
      <c r="E16" t="s">
        <v>133</v>
      </c>
      <c r="F16" t="s">
        <v>53</v>
      </c>
      <c r="G16" t="s">
        <v>134</v>
      </c>
      <c r="H16" t="s">
        <v>135</v>
      </c>
      <c r="I16" t="s">
        <v>136</v>
      </c>
      <c r="J16" t="s">
        <v>57</v>
      </c>
      <c r="K16" t="s">
        <v>58</v>
      </c>
      <c r="L16" t="s">
        <v>59</v>
      </c>
      <c r="N16" s="1">
        <v>45705</v>
      </c>
      <c r="O16" s="2">
        <v>0</v>
      </c>
      <c r="P16" s="3">
        <v>264780</v>
      </c>
      <c r="Q16">
        <v>0</v>
      </c>
      <c r="S16" t="s">
        <v>137</v>
      </c>
      <c r="U16" t="s">
        <v>104</v>
      </c>
      <c r="V16">
        <v>4630450846</v>
      </c>
      <c r="Z16">
        <v>102</v>
      </c>
      <c r="AA16">
        <v>102</v>
      </c>
      <c r="AB16">
        <v>0</v>
      </c>
      <c r="AC16" s="3">
        <v>29420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3">
        <v>29420</v>
      </c>
      <c r="AK16">
        <v>0</v>
      </c>
      <c r="AL16">
        <v>0</v>
      </c>
      <c r="AM16">
        <v>0</v>
      </c>
      <c r="AN16" t="s">
        <v>62</v>
      </c>
      <c r="AT16">
        <v>47071</v>
      </c>
      <c r="AU16" t="s">
        <v>63</v>
      </c>
      <c r="AV16" s="1">
        <v>45719</v>
      </c>
      <c r="AW16" s="2">
        <v>0.54027777777777775</v>
      </c>
    </row>
    <row r="17" spans="1:52" x14ac:dyDescent="0.2">
      <c r="A17" s="1">
        <v>45705</v>
      </c>
      <c r="B17" s="2">
        <v>0.58472222222222225</v>
      </c>
      <c r="C17" s="3">
        <v>31185</v>
      </c>
      <c r="E17" t="s">
        <v>100</v>
      </c>
      <c r="F17" t="s">
        <v>53</v>
      </c>
      <c r="G17" t="s">
        <v>101</v>
      </c>
      <c r="H17" t="s">
        <v>138</v>
      </c>
      <c r="I17" t="s">
        <v>103</v>
      </c>
      <c r="J17" t="s">
        <v>104</v>
      </c>
      <c r="K17" t="s">
        <v>58</v>
      </c>
      <c r="L17" t="s">
        <v>59</v>
      </c>
      <c r="N17" s="1">
        <v>45705</v>
      </c>
      <c r="O17" s="2">
        <v>0</v>
      </c>
      <c r="P17" s="3">
        <v>28350</v>
      </c>
      <c r="Q17">
        <v>0</v>
      </c>
      <c r="S17" t="s">
        <v>139</v>
      </c>
      <c r="U17" t="s">
        <v>61</v>
      </c>
      <c r="V17">
        <v>34528396314</v>
      </c>
      <c r="Z17">
        <v>9</v>
      </c>
      <c r="AA17">
        <v>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62</v>
      </c>
      <c r="AT17">
        <v>46908</v>
      </c>
      <c r="AU17" t="s">
        <v>63</v>
      </c>
      <c r="AV17" s="1">
        <v>45705</v>
      </c>
      <c r="AW17" s="2">
        <v>0.58472222222222225</v>
      </c>
    </row>
    <row r="18" spans="1:52" x14ac:dyDescent="0.2">
      <c r="A18" s="1">
        <v>45706</v>
      </c>
      <c r="B18" s="2">
        <v>0.71111111111111114</v>
      </c>
      <c r="C18" s="3">
        <v>15138.09</v>
      </c>
      <c r="E18" t="s">
        <v>117</v>
      </c>
      <c r="F18" t="s">
        <v>53</v>
      </c>
      <c r="G18" t="s">
        <v>118</v>
      </c>
      <c r="H18" t="s">
        <v>140</v>
      </c>
      <c r="I18" t="s">
        <v>120</v>
      </c>
      <c r="J18" t="s">
        <v>121</v>
      </c>
      <c r="K18" t="s">
        <v>77</v>
      </c>
      <c r="L18" t="s">
        <v>59</v>
      </c>
      <c r="N18" s="1">
        <v>45706</v>
      </c>
      <c r="O18" s="2">
        <v>0</v>
      </c>
      <c r="P18" s="3">
        <v>13761.9</v>
      </c>
      <c r="Q18">
        <v>0</v>
      </c>
      <c r="S18" t="s">
        <v>141</v>
      </c>
      <c r="U18" t="s">
        <v>71</v>
      </c>
      <c r="V18">
        <v>2560064195</v>
      </c>
      <c r="Z18">
        <v>18</v>
      </c>
      <c r="AA18">
        <v>18</v>
      </c>
      <c r="AB18">
        <v>0</v>
      </c>
      <c r="AC18" s="3">
        <v>1529.1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3">
        <v>1529.1</v>
      </c>
      <c r="AK18">
        <v>0</v>
      </c>
      <c r="AL18">
        <v>0</v>
      </c>
      <c r="AM18">
        <v>0</v>
      </c>
      <c r="AN18" t="s">
        <v>62</v>
      </c>
      <c r="AT18">
        <v>46931</v>
      </c>
      <c r="AU18" t="s">
        <v>63</v>
      </c>
      <c r="AV18" s="1">
        <v>45706</v>
      </c>
      <c r="AW18" s="2">
        <v>0.71111111111111114</v>
      </c>
    </row>
    <row r="19" spans="1:52" x14ac:dyDescent="0.2">
      <c r="A19" s="1">
        <v>45707</v>
      </c>
      <c r="B19" s="2">
        <v>0.47222222222222227</v>
      </c>
      <c r="C19" s="3">
        <v>3464.51</v>
      </c>
      <c r="E19" t="s">
        <v>72</v>
      </c>
      <c r="F19" t="s">
        <v>53</v>
      </c>
      <c r="G19" t="s">
        <v>73</v>
      </c>
      <c r="H19" t="s">
        <v>142</v>
      </c>
      <c r="I19" t="s">
        <v>75</v>
      </c>
      <c r="J19" t="s">
        <v>76</v>
      </c>
      <c r="K19" t="s">
        <v>77</v>
      </c>
      <c r="L19" t="s">
        <v>59</v>
      </c>
      <c r="N19" s="1">
        <v>45707</v>
      </c>
      <c r="O19" s="2">
        <v>0</v>
      </c>
      <c r="P19" s="3">
        <v>3149.55</v>
      </c>
      <c r="Q19">
        <v>0</v>
      </c>
      <c r="S19" t="s">
        <v>143</v>
      </c>
      <c r="U19" t="s">
        <v>71</v>
      </c>
      <c r="V19">
        <v>3300010805</v>
      </c>
      <c r="Z19">
        <v>1</v>
      </c>
      <c r="AA19">
        <v>1</v>
      </c>
      <c r="AB19">
        <v>0</v>
      </c>
      <c r="AC19">
        <v>349.95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349.95</v>
      </c>
      <c r="AK19">
        <v>0</v>
      </c>
      <c r="AL19">
        <v>0</v>
      </c>
      <c r="AM19">
        <v>0</v>
      </c>
      <c r="AN19" t="s">
        <v>62</v>
      </c>
      <c r="AT19">
        <v>46936</v>
      </c>
      <c r="AU19" t="s">
        <v>63</v>
      </c>
      <c r="AV19" s="1">
        <v>45707</v>
      </c>
      <c r="AW19" s="2">
        <v>0.47222222222222227</v>
      </c>
    </row>
    <row r="20" spans="1:52" x14ac:dyDescent="0.2">
      <c r="A20" s="1">
        <v>45708</v>
      </c>
      <c r="B20" s="2">
        <v>0.46319444444444446</v>
      </c>
      <c r="C20" s="3">
        <v>1484.51</v>
      </c>
      <c r="E20" t="s">
        <v>112</v>
      </c>
      <c r="F20" t="s">
        <v>53</v>
      </c>
      <c r="G20" t="s">
        <v>113</v>
      </c>
      <c r="H20" t="s">
        <v>144</v>
      </c>
      <c r="I20" t="s">
        <v>115</v>
      </c>
      <c r="J20" t="s">
        <v>68</v>
      </c>
      <c r="K20" t="s">
        <v>77</v>
      </c>
      <c r="L20" t="s">
        <v>59</v>
      </c>
      <c r="N20" s="1">
        <v>45708</v>
      </c>
      <c r="O20" s="2">
        <v>0</v>
      </c>
      <c r="P20" s="3">
        <v>1349.55</v>
      </c>
      <c r="Q20">
        <v>0</v>
      </c>
      <c r="S20" t="s">
        <v>116</v>
      </c>
      <c r="U20" t="s">
        <v>71</v>
      </c>
      <c r="V20">
        <v>4540127542</v>
      </c>
      <c r="Z20">
        <v>1</v>
      </c>
      <c r="AA20">
        <v>1</v>
      </c>
      <c r="AB20">
        <v>0</v>
      </c>
      <c r="AC20">
        <v>149.94999999999999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149.94999999999999</v>
      </c>
      <c r="AK20">
        <v>0</v>
      </c>
      <c r="AL20">
        <v>0</v>
      </c>
      <c r="AM20">
        <v>0</v>
      </c>
      <c r="AN20" t="s">
        <v>62</v>
      </c>
      <c r="AT20">
        <v>47010</v>
      </c>
      <c r="AU20" t="s">
        <v>63</v>
      </c>
      <c r="AV20" s="1">
        <v>45715</v>
      </c>
      <c r="AW20" s="2">
        <v>0.46319444444444446</v>
      </c>
    </row>
    <row r="21" spans="1:52" x14ac:dyDescent="0.2">
      <c r="A21" s="1">
        <v>45709</v>
      </c>
      <c r="B21" s="2">
        <v>0.46458333333333335</v>
      </c>
      <c r="C21" s="3">
        <v>1732.5</v>
      </c>
      <c r="E21" t="s">
        <v>145</v>
      </c>
      <c r="F21" t="s">
        <v>53</v>
      </c>
      <c r="G21" t="s">
        <v>146</v>
      </c>
      <c r="H21" t="s">
        <v>147</v>
      </c>
      <c r="I21" t="s">
        <v>148</v>
      </c>
      <c r="J21" t="s">
        <v>149</v>
      </c>
      <c r="K21" t="s">
        <v>77</v>
      </c>
      <c r="L21" t="s">
        <v>59</v>
      </c>
      <c r="N21" s="1">
        <v>45709</v>
      </c>
      <c r="O21" s="2">
        <v>0</v>
      </c>
      <c r="P21" s="3">
        <v>1575</v>
      </c>
      <c r="Q21">
        <v>0</v>
      </c>
      <c r="S21" t="s">
        <v>150</v>
      </c>
      <c r="U21" t="s">
        <v>151</v>
      </c>
      <c r="V21">
        <v>7210029038</v>
      </c>
      <c r="Z21">
        <v>1</v>
      </c>
      <c r="AA21">
        <v>1</v>
      </c>
      <c r="AB21">
        <v>0</v>
      </c>
      <c r="AC21">
        <v>175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175</v>
      </c>
      <c r="AK21">
        <v>0</v>
      </c>
      <c r="AL21">
        <v>0</v>
      </c>
      <c r="AM21">
        <v>0</v>
      </c>
      <c r="AN21" t="s">
        <v>62</v>
      </c>
      <c r="AT21">
        <v>47011</v>
      </c>
      <c r="AU21" t="s">
        <v>63</v>
      </c>
      <c r="AV21" s="1">
        <v>45715</v>
      </c>
      <c r="AW21" s="2">
        <v>0.46458333333333335</v>
      </c>
    </row>
    <row r="22" spans="1:52" x14ac:dyDescent="0.2">
      <c r="A22" s="1">
        <v>45709</v>
      </c>
      <c r="B22" s="2">
        <v>0.52430555555555558</v>
      </c>
      <c r="C22" s="3">
        <v>90800.5</v>
      </c>
      <c r="E22" t="s">
        <v>152</v>
      </c>
      <c r="F22" t="s">
        <v>53</v>
      </c>
      <c r="G22" t="s">
        <v>153</v>
      </c>
      <c r="H22" t="s">
        <v>154</v>
      </c>
      <c r="I22" t="s">
        <v>155</v>
      </c>
      <c r="J22" t="s">
        <v>57</v>
      </c>
      <c r="K22" t="s">
        <v>58</v>
      </c>
      <c r="L22" t="s">
        <v>59</v>
      </c>
      <c r="N22" s="1">
        <v>45709</v>
      </c>
      <c r="O22" s="2">
        <v>0</v>
      </c>
      <c r="P22" s="3">
        <v>82259</v>
      </c>
      <c r="Q22">
        <v>0</v>
      </c>
      <c r="S22" t="s">
        <v>156</v>
      </c>
      <c r="U22" t="s">
        <v>157</v>
      </c>
      <c r="V22">
        <v>4790044094</v>
      </c>
      <c r="Z22">
        <v>61</v>
      </c>
      <c r="AA22">
        <v>61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t="s">
        <v>62</v>
      </c>
      <c r="AT22">
        <v>47754</v>
      </c>
      <c r="AU22" t="s">
        <v>63</v>
      </c>
      <c r="AV22" s="1">
        <v>45755</v>
      </c>
      <c r="AW22" s="2">
        <v>0.52430555555555558</v>
      </c>
      <c r="AX22" t="s">
        <v>63</v>
      </c>
      <c r="AY22" s="1">
        <v>45755</v>
      </c>
      <c r="AZ22" s="2">
        <v>0.60486111111111118</v>
      </c>
    </row>
    <row r="23" spans="1:52" x14ac:dyDescent="0.2">
      <c r="A23" s="1">
        <v>45709</v>
      </c>
      <c r="B23" s="2">
        <v>0.53749999999999998</v>
      </c>
      <c r="C23" s="3">
        <v>248903.45</v>
      </c>
      <c r="E23" t="s">
        <v>152</v>
      </c>
      <c r="F23" t="s">
        <v>53</v>
      </c>
      <c r="G23" t="s">
        <v>153</v>
      </c>
      <c r="H23" t="s">
        <v>158</v>
      </c>
      <c r="I23" t="s">
        <v>155</v>
      </c>
      <c r="J23" t="s">
        <v>57</v>
      </c>
      <c r="K23" t="s">
        <v>58</v>
      </c>
      <c r="L23" t="s">
        <v>59</v>
      </c>
      <c r="N23" s="1">
        <v>45709</v>
      </c>
      <c r="O23" s="2">
        <v>0</v>
      </c>
      <c r="P23" s="3">
        <v>226155.6</v>
      </c>
      <c r="Q23">
        <v>0</v>
      </c>
      <c r="S23" t="s">
        <v>159</v>
      </c>
      <c r="U23" t="s">
        <v>157</v>
      </c>
      <c r="V23">
        <v>4790044094</v>
      </c>
      <c r="Z23">
        <v>146</v>
      </c>
      <c r="AA23">
        <v>146</v>
      </c>
      <c r="AB23">
        <v>0</v>
      </c>
      <c r="AC23" s="3">
        <v>25137.4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3">
        <v>25137.4</v>
      </c>
      <c r="AK23">
        <v>0</v>
      </c>
      <c r="AL23">
        <v>0</v>
      </c>
      <c r="AM23">
        <v>0</v>
      </c>
      <c r="AN23" t="s">
        <v>62</v>
      </c>
      <c r="AT23">
        <v>47832</v>
      </c>
      <c r="AU23" t="s">
        <v>63</v>
      </c>
      <c r="AV23" s="1">
        <v>45759</v>
      </c>
      <c r="AW23" s="2">
        <v>0.53749999999999998</v>
      </c>
      <c r="AX23" t="s">
        <v>63</v>
      </c>
      <c r="AY23" s="1">
        <v>45771</v>
      </c>
      <c r="AZ23" s="2">
        <v>0.64027777777777783</v>
      </c>
    </row>
    <row r="24" spans="1:52" x14ac:dyDescent="0.2">
      <c r="A24" s="1">
        <v>45712</v>
      </c>
      <c r="B24" s="2">
        <v>0.45069444444444445</v>
      </c>
      <c r="C24" s="3">
        <v>4399.5200000000004</v>
      </c>
      <c r="E24" t="s">
        <v>64</v>
      </c>
      <c r="F24" t="s">
        <v>53</v>
      </c>
      <c r="G24" t="s">
        <v>65</v>
      </c>
      <c r="H24" t="s">
        <v>160</v>
      </c>
      <c r="I24" t="s">
        <v>67</v>
      </c>
      <c r="J24" t="s">
        <v>68</v>
      </c>
      <c r="K24" t="s">
        <v>69</v>
      </c>
      <c r="L24" t="s">
        <v>59</v>
      </c>
      <c r="N24" s="1">
        <v>45712</v>
      </c>
      <c r="O24" s="2">
        <v>0</v>
      </c>
      <c r="P24" s="3">
        <v>3999.56</v>
      </c>
      <c r="Q24">
        <v>0</v>
      </c>
      <c r="S24" t="s">
        <v>70</v>
      </c>
      <c r="U24" t="s">
        <v>71</v>
      </c>
      <c r="V24">
        <v>7450420635</v>
      </c>
      <c r="Z24">
        <v>2</v>
      </c>
      <c r="AA24">
        <v>2</v>
      </c>
      <c r="AB24">
        <v>0</v>
      </c>
      <c r="AC24">
        <v>444.4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444.4</v>
      </c>
      <c r="AK24">
        <v>0</v>
      </c>
      <c r="AL24">
        <v>0</v>
      </c>
      <c r="AM24">
        <v>0</v>
      </c>
      <c r="AN24" t="s">
        <v>62</v>
      </c>
      <c r="AT24">
        <v>47069</v>
      </c>
      <c r="AU24" t="s">
        <v>63</v>
      </c>
      <c r="AV24" s="1">
        <v>45719</v>
      </c>
      <c r="AW24" s="2">
        <v>0.45069444444444445</v>
      </c>
    </row>
    <row r="25" spans="1:52" x14ac:dyDescent="0.2">
      <c r="A25" s="1">
        <v>45714</v>
      </c>
      <c r="B25" s="2">
        <v>0.62777777777777777</v>
      </c>
      <c r="C25" s="3">
        <v>57375.45</v>
      </c>
      <c r="E25" t="s">
        <v>94</v>
      </c>
      <c r="F25" t="s">
        <v>53</v>
      </c>
      <c r="G25" t="s">
        <v>95</v>
      </c>
      <c r="H25" t="s">
        <v>161</v>
      </c>
      <c r="I25" t="s">
        <v>97</v>
      </c>
      <c r="J25" t="s">
        <v>57</v>
      </c>
      <c r="K25" t="s">
        <v>58</v>
      </c>
      <c r="L25" t="s">
        <v>59</v>
      </c>
      <c r="N25" s="1">
        <v>45714</v>
      </c>
      <c r="O25" s="2">
        <v>0</v>
      </c>
      <c r="P25" s="3">
        <v>52159.5</v>
      </c>
      <c r="Q25">
        <v>0</v>
      </c>
      <c r="S25" t="s">
        <v>162</v>
      </c>
      <c r="U25" t="s">
        <v>99</v>
      </c>
      <c r="V25" t="str">
        <f>"0510252318"</f>
        <v>0510252318</v>
      </c>
      <c r="Z25">
        <v>7</v>
      </c>
      <c r="AA25">
        <v>7</v>
      </c>
      <c r="AB25">
        <v>0</v>
      </c>
      <c r="AC25" s="3">
        <v>5795.5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3">
        <v>5795.5</v>
      </c>
      <c r="AK25">
        <v>0</v>
      </c>
      <c r="AL25">
        <v>0</v>
      </c>
      <c r="AM25">
        <v>0</v>
      </c>
      <c r="AN25" t="s">
        <v>62</v>
      </c>
      <c r="AT25">
        <v>47228</v>
      </c>
      <c r="AU25" t="s">
        <v>63</v>
      </c>
      <c r="AV25" s="1">
        <v>45730</v>
      </c>
      <c r="AW25" s="2">
        <v>0.62777777777777777</v>
      </c>
    </row>
    <row r="26" spans="1:52" x14ac:dyDescent="0.2">
      <c r="A26" s="1">
        <v>45716</v>
      </c>
      <c r="B26" s="2">
        <v>0.47222222222222227</v>
      </c>
      <c r="C26" s="3">
        <v>5497.8</v>
      </c>
      <c r="E26" t="s">
        <v>152</v>
      </c>
      <c r="F26" t="s">
        <v>53</v>
      </c>
      <c r="G26" t="s">
        <v>153</v>
      </c>
      <c r="H26" t="s">
        <v>163</v>
      </c>
      <c r="I26" t="s">
        <v>155</v>
      </c>
      <c r="J26" t="s">
        <v>57</v>
      </c>
      <c r="K26" t="s">
        <v>58</v>
      </c>
      <c r="L26" t="s">
        <v>59</v>
      </c>
      <c r="N26" s="1">
        <v>45716</v>
      </c>
      <c r="O26" s="2">
        <v>0</v>
      </c>
      <c r="P26" s="3">
        <v>4998</v>
      </c>
      <c r="Q26">
        <v>0</v>
      </c>
      <c r="S26" t="s">
        <v>164</v>
      </c>
      <c r="U26" t="s">
        <v>157</v>
      </c>
      <c r="V26">
        <v>4790044094</v>
      </c>
      <c r="Z26">
        <v>2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t="s">
        <v>62</v>
      </c>
      <c r="AT26">
        <v>47727</v>
      </c>
      <c r="AU26" t="s">
        <v>63</v>
      </c>
      <c r="AV26" s="1">
        <v>45754</v>
      </c>
      <c r="AW26" s="2">
        <v>0.47222222222222227</v>
      </c>
    </row>
    <row r="27" spans="1:52" x14ac:dyDescent="0.2">
      <c r="A27" s="1">
        <v>45716</v>
      </c>
      <c r="B27" s="2">
        <v>0.48402777777777778</v>
      </c>
      <c r="C27" s="3">
        <v>2120.98</v>
      </c>
      <c r="E27" t="s">
        <v>152</v>
      </c>
      <c r="F27" t="s">
        <v>53</v>
      </c>
      <c r="G27" t="s">
        <v>153</v>
      </c>
      <c r="H27" t="s">
        <v>165</v>
      </c>
      <c r="I27" t="s">
        <v>155</v>
      </c>
      <c r="J27" t="s">
        <v>57</v>
      </c>
      <c r="K27" t="s">
        <v>58</v>
      </c>
      <c r="L27" t="s">
        <v>59</v>
      </c>
      <c r="N27" s="1">
        <v>45716</v>
      </c>
      <c r="O27" s="2">
        <v>0</v>
      </c>
      <c r="P27" s="3">
        <v>1767.48</v>
      </c>
      <c r="Q27">
        <v>0</v>
      </c>
      <c r="S27" t="s">
        <v>166</v>
      </c>
      <c r="U27" t="s">
        <v>157</v>
      </c>
      <c r="V27">
        <v>4790044094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 t="s">
        <v>62</v>
      </c>
      <c r="AT27">
        <v>47920</v>
      </c>
      <c r="AU27" t="s">
        <v>63</v>
      </c>
      <c r="AV27" s="1">
        <v>45764</v>
      </c>
      <c r="AW27" s="2">
        <v>0.48402777777777778</v>
      </c>
    </row>
    <row r="28" spans="1:52" x14ac:dyDescent="0.2">
      <c r="A28" s="1">
        <v>45716</v>
      </c>
      <c r="B28" s="2">
        <v>0.52569444444444446</v>
      </c>
      <c r="C28" s="3">
        <v>4125.3100000000004</v>
      </c>
      <c r="E28" t="s">
        <v>64</v>
      </c>
      <c r="F28" t="s">
        <v>53</v>
      </c>
      <c r="G28" t="s">
        <v>65</v>
      </c>
      <c r="H28" t="s">
        <v>167</v>
      </c>
      <c r="I28" t="s">
        <v>67</v>
      </c>
      <c r="J28" t="s">
        <v>68</v>
      </c>
      <c r="K28" t="s">
        <v>69</v>
      </c>
      <c r="L28" t="s">
        <v>59</v>
      </c>
      <c r="N28" s="1">
        <v>45716</v>
      </c>
      <c r="O28" s="2">
        <v>0</v>
      </c>
      <c r="P28" s="3">
        <v>3750.28</v>
      </c>
      <c r="Q28">
        <v>0</v>
      </c>
      <c r="S28" t="s">
        <v>168</v>
      </c>
      <c r="U28" t="s">
        <v>71</v>
      </c>
      <c r="V28">
        <v>7450420635</v>
      </c>
      <c r="Z28">
        <v>1</v>
      </c>
      <c r="AA28">
        <v>1</v>
      </c>
      <c r="AB28">
        <v>0</v>
      </c>
      <c r="AC28">
        <v>416.7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416.7</v>
      </c>
      <c r="AK28">
        <v>0</v>
      </c>
      <c r="AL28">
        <v>0</v>
      </c>
      <c r="AM28">
        <v>0</v>
      </c>
      <c r="AN28" t="s">
        <v>62</v>
      </c>
      <c r="AT28">
        <v>47041</v>
      </c>
      <c r="AU28" t="s">
        <v>63</v>
      </c>
      <c r="AV28" s="1">
        <v>45716</v>
      </c>
      <c r="AW28" s="2">
        <v>0.52569444444444446</v>
      </c>
      <c r="AX28" t="s">
        <v>63</v>
      </c>
      <c r="AY28" s="1">
        <v>45717</v>
      </c>
      <c r="AZ28" s="2">
        <v>0.46249999999999997</v>
      </c>
    </row>
    <row r="29" spans="1:52" x14ac:dyDescent="0.2">
      <c r="A29" s="1">
        <v>45716</v>
      </c>
      <c r="B29" s="2">
        <v>0.63888888888888895</v>
      </c>
      <c r="C29" s="3">
        <v>28441.71</v>
      </c>
      <c r="E29" t="s">
        <v>152</v>
      </c>
      <c r="F29" t="s">
        <v>53</v>
      </c>
      <c r="G29" t="s">
        <v>153</v>
      </c>
      <c r="H29" t="s">
        <v>169</v>
      </c>
      <c r="I29" t="s">
        <v>155</v>
      </c>
      <c r="J29" t="s">
        <v>57</v>
      </c>
      <c r="K29" t="s">
        <v>58</v>
      </c>
      <c r="L29" t="s">
        <v>59</v>
      </c>
      <c r="N29" s="1">
        <v>45716</v>
      </c>
      <c r="O29" s="2">
        <v>0</v>
      </c>
      <c r="P29" s="3">
        <v>25856.1</v>
      </c>
      <c r="Q29">
        <v>0</v>
      </c>
      <c r="S29" t="s">
        <v>170</v>
      </c>
      <c r="U29" t="s">
        <v>157</v>
      </c>
      <c r="V29">
        <v>4790044094</v>
      </c>
      <c r="Z29">
        <v>13</v>
      </c>
      <c r="AA29">
        <v>13</v>
      </c>
      <c r="AB29">
        <v>0</v>
      </c>
      <c r="AC29" s="3">
        <v>2872.9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3">
        <v>2872.9</v>
      </c>
      <c r="AK29">
        <v>0</v>
      </c>
      <c r="AL29">
        <v>0</v>
      </c>
      <c r="AM29">
        <v>0</v>
      </c>
      <c r="AN29" t="s">
        <v>62</v>
      </c>
      <c r="AT29">
        <v>47889</v>
      </c>
      <c r="AU29" t="s">
        <v>63</v>
      </c>
      <c r="AV29" s="1">
        <v>45762</v>
      </c>
      <c r="AW29" s="2">
        <v>0.63888888888888895</v>
      </c>
      <c r="AX29" t="s">
        <v>63</v>
      </c>
      <c r="AY29" s="1">
        <v>45763</v>
      </c>
      <c r="AZ29" s="2">
        <v>0.62083333333333335</v>
      </c>
    </row>
    <row r="30" spans="1:52" x14ac:dyDescent="0.2">
      <c r="A30" s="1">
        <v>45719</v>
      </c>
      <c r="B30" s="2">
        <v>0.56458333333333333</v>
      </c>
      <c r="C30" s="3">
        <v>44995.5</v>
      </c>
      <c r="E30" t="s">
        <v>94</v>
      </c>
      <c r="F30" t="s">
        <v>53</v>
      </c>
      <c r="G30" t="s">
        <v>95</v>
      </c>
      <c r="H30" t="s">
        <v>171</v>
      </c>
      <c r="I30" t="s">
        <v>97</v>
      </c>
      <c r="J30" t="s">
        <v>57</v>
      </c>
      <c r="K30" t="s">
        <v>58</v>
      </c>
      <c r="L30" t="s">
        <v>59</v>
      </c>
      <c r="N30" s="1">
        <v>45719</v>
      </c>
      <c r="O30" s="2">
        <v>0</v>
      </c>
      <c r="P30" s="3">
        <v>40905</v>
      </c>
      <c r="Q30">
        <v>0</v>
      </c>
      <c r="S30" t="s">
        <v>172</v>
      </c>
      <c r="U30" t="s">
        <v>99</v>
      </c>
      <c r="V30" t="str">
        <f>"0510252318"</f>
        <v>0510252318</v>
      </c>
      <c r="Z30">
        <v>5</v>
      </c>
      <c r="AA30">
        <v>5</v>
      </c>
      <c r="AB30">
        <v>0</v>
      </c>
      <c r="AC30" s="3">
        <v>4545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3">
        <v>4545</v>
      </c>
      <c r="AK30">
        <v>0</v>
      </c>
      <c r="AL30">
        <v>0</v>
      </c>
      <c r="AM30">
        <v>0</v>
      </c>
      <c r="AN30" t="s">
        <v>62</v>
      </c>
      <c r="AT30">
        <v>47380</v>
      </c>
      <c r="AU30" t="s">
        <v>63</v>
      </c>
      <c r="AV30" s="1">
        <v>45740</v>
      </c>
      <c r="AW30" s="2">
        <v>0.56458333333333333</v>
      </c>
    </row>
    <row r="31" spans="1:52" x14ac:dyDescent="0.2">
      <c r="A31" s="1">
        <v>45719</v>
      </c>
      <c r="B31" s="2">
        <v>0.58263888888888882</v>
      </c>
      <c r="C31" s="3">
        <v>6434.01</v>
      </c>
      <c r="E31" t="s">
        <v>72</v>
      </c>
      <c r="F31" t="s">
        <v>53</v>
      </c>
      <c r="G31" t="s">
        <v>73</v>
      </c>
      <c r="H31" t="s">
        <v>173</v>
      </c>
      <c r="I31" t="s">
        <v>75</v>
      </c>
      <c r="J31" t="s">
        <v>76</v>
      </c>
      <c r="K31" t="s">
        <v>77</v>
      </c>
      <c r="L31" t="s">
        <v>59</v>
      </c>
      <c r="N31" s="1">
        <v>45719</v>
      </c>
      <c r="O31" s="2">
        <v>0</v>
      </c>
      <c r="P31" s="3">
        <v>5849.1</v>
      </c>
      <c r="Q31">
        <v>0</v>
      </c>
      <c r="S31" t="s">
        <v>174</v>
      </c>
      <c r="U31" t="s">
        <v>71</v>
      </c>
      <c r="V31">
        <v>3300010805</v>
      </c>
      <c r="Z31">
        <v>2</v>
      </c>
      <c r="AA31">
        <v>2</v>
      </c>
      <c r="AB31">
        <v>0</v>
      </c>
      <c r="AC31">
        <v>649.9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649.9</v>
      </c>
      <c r="AK31">
        <v>0</v>
      </c>
      <c r="AL31">
        <v>0</v>
      </c>
      <c r="AM31">
        <v>0</v>
      </c>
      <c r="AN31" t="s">
        <v>62</v>
      </c>
      <c r="AT31">
        <v>47073</v>
      </c>
      <c r="AU31" t="s">
        <v>63</v>
      </c>
      <c r="AV31" s="1">
        <v>45719</v>
      </c>
      <c r="AW31" s="2">
        <v>0.58263888888888882</v>
      </c>
    </row>
    <row r="32" spans="1:52" x14ac:dyDescent="0.2">
      <c r="A32" s="1">
        <v>45720</v>
      </c>
      <c r="B32" s="2">
        <v>0.4597222222222222</v>
      </c>
      <c r="C32" s="3">
        <v>237431.7</v>
      </c>
      <c r="E32" t="s">
        <v>79</v>
      </c>
      <c r="F32" t="s">
        <v>53</v>
      </c>
      <c r="G32" t="s">
        <v>80</v>
      </c>
      <c r="H32" t="s">
        <v>175</v>
      </c>
      <c r="I32" t="s">
        <v>82</v>
      </c>
      <c r="J32" t="s">
        <v>68</v>
      </c>
      <c r="K32" t="s">
        <v>77</v>
      </c>
      <c r="L32" t="s">
        <v>59</v>
      </c>
      <c r="N32" s="1">
        <v>45720</v>
      </c>
      <c r="O32" s="2">
        <v>0</v>
      </c>
      <c r="P32" s="3">
        <v>215847</v>
      </c>
      <c r="Q32">
        <v>0</v>
      </c>
      <c r="S32" t="s">
        <v>176</v>
      </c>
      <c r="U32" t="s">
        <v>84</v>
      </c>
      <c r="V32">
        <v>4060032834</v>
      </c>
      <c r="Z32">
        <v>85</v>
      </c>
      <c r="AA32">
        <v>85</v>
      </c>
      <c r="AB32">
        <v>0</v>
      </c>
      <c r="AC32" s="3">
        <v>23983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3">
        <v>23983</v>
      </c>
      <c r="AK32">
        <v>0</v>
      </c>
      <c r="AL32">
        <v>0</v>
      </c>
      <c r="AM32">
        <v>0</v>
      </c>
      <c r="AN32" t="s">
        <v>62</v>
      </c>
      <c r="AT32">
        <v>47277</v>
      </c>
      <c r="AU32" t="s">
        <v>63</v>
      </c>
      <c r="AV32" s="1">
        <v>45734</v>
      </c>
      <c r="AW32" s="2">
        <v>0.4597222222222222</v>
      </c>
      <c r="AX32" t="s">
        <v>63</v>
      </c>
      <c r="AY32" s="1">
        <v>45738</v>
      </c>
      <c r="AZ32" s="2">
        <v>0.53263888888888888</v>
      </c>
    </row>
    <row r="33" spans="1:52" x14ac:dyDescent="0.2">
      <c r="A33" s="1">
        <v>45720</v>
      </c>
      <c r="B33" s="2">
        <v>0.52847222222222223</v>
      </c>
      <c r="C33" s="3">
        <v>243342</v>
      </c>
      <c r="E33" t="s">
        <v>177</v>
      </c>
      <c r="F33" t="s">
        <v>53</v>
      </c>
      <c r="G33" t="s">
        <v>178</v>
      </c>
      <c r="H33" t="s">
        <v>179</v>
      </c>
      <c r="I33" t="s">
        <v>180</v>
      </c>
      <c r="J33" t="s">
        <v>181</v>
      </c>
      <c r="K33" t="s">
        <v>77</v>
      </c>
      <c r="L33" t="s">
        <v>59</v>
      </c>
      <c r="N33" s="1">
        <v>45720</v>
      </c>
      <c r="O33" s="2">
        <v>0</v>
      </c>
      <c r="P33" s="3">
        <v>221220</v>
      </c>
      <c r="Q33">
        <v>0</v>
      </c>
      <c r="S33" t="s">
        <v>182</v>
      </c>
      <c r="U33" t="s">
        <v>183</v>
      </c>
      <c r="V33">
        <v>4700088718</v>
      </c>
      <c r="Z33">
        <v>95</v>
      </c>
      <c r="AA33">
        <v>95</v>
      </c>
      <c r="AB33">
        <v>0</v>
      </c>
      <c r="AC33" s="3">
        <v>24580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3">
        <v>24580</v>
      </c>
      <c r="AK33">
        <v>0</v>
      </c>
      <c r="AL33">
        <v>0</v>
      </c>
      <c r="AM33">
        <v>0</v>
      </c>
      <c r="AN33" t="s">
        <v>62</v>
      </c>
      <c r="AT33">
        <v>47590</v>
      </c>
      <c r="AU33" t="s">
        <v>63</v>
      </c>
      <c r="AV33" s="1">
        <v>45749</v>
      </c>
      <c r="AW33" s="2">
        <v>0.52847222222222223</v>
      </c>
      <c r="AX33" t="s">
        <v>63</v>
      </c>
      <c r="AY33" s="1">
        <v>45752</v>
      </c>
      <c r="AZ33" s="2">
        <v>0.49444444444444446</v>
      </c>
    </row>
    <row r="34" spans="1:52" x14ac:dyDescent="0.2">
      <c r="A34" s="1">
        <v>45720</v>
      </c>
      <c r="B34" s="2">
        <v>0.57291666666666663</v>
      </c>
      <c r="C34" s="3">
        <v>1157.2</v>
      </c>
      <c r="E34" t="s">
        <v>152</v>
      </c>
      <c r="F34" t="s">
        <v>53</v>
      </c>
      <c r="G34" t="s">
        <v>153</v>
      </c>
      <c r="H34" t="s">
        <v>184</v>
      </c>
      <c r="I34" t="s">
        <v>155</v>
      </c>
      <c r="J34" t="s">
        <v>57</v>
      </c>
      <c r="K34" t="s">
        <v>58</v>
      </c>
      <c r="L34" t="s">
        <v>59</v>
      </c>
      <c r="N34" s="1">
        <v>45720</v>
      </c>
      <c r="O34" s="2">
        <v>0</v>
      </c>
      <c r="P34" s="3">
        <v>1052</v>
      </c>
      <c r="Q34">
        <v>0</v>
      </c>
      <c r="S34" t="s">
        <v>185</v>
      </c>
      <c r="U34" t="s">
        <v>157</v>
      </c>
      <c r="V34">
        <v>4790044094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 t="s">
        <v>62</v>
      </c>
      <c r="AT34">
        <v>47792</v>
      </c>
      <c r="AU34" t="s">
        <v>63</v>
      </c>
      <c r="AV34" s="1">
        <v>45757</v>
      </c>
      <c r="AW34" s="2">
        <v>0.57291666666666663</v>
      </c>
    </row>
    <row r="35" spans="1:52" x14ac:dyDescent="0.2">
      <c r="A35" s="1">
        <v>45720</v>
      </c>
      <c r="B35" s="2">
        <v>0.61458333333333337</v>
      </c>
      <c r="C35" s="3">
        <v>156099.24</v>
      </c>
      <c r="E35" t="s">
        <v>152</v>
      </c>
      <c r="F35" t="s">
        <v>53</v>
      </c>
      <c r="G35" t="s">
        <v>153</v>
      </c>
      <c r="H35" t="s">
        <v>186</v>
      </c>
      <c r="I35" t="s">
        <v>155</v>
      </c>
      <c r="J35" t="s">
        <v>57</v>
      </c>
      <c r="K35" t="s">
        <v>58</v>
      </c>
      <c r="L35" t="s">
        <v>59</v>
      </c>
      <c r="N35" s="1">
        <v>45720</v>
      </c>
      <c r="O35" s="2">
        <v>0</v>
      </c>
      <c r="P35" s="3">
        <v>141908.4</v>
      </c>
      <c r="Q35">
        <v>0</v>
      </c>
      <c r="S35" t="s">
        <v>187</v>
      </c>
      <c r="U35" t="s">
        <v>157</v>
      </c>
      <c r="V35">
        <v>4790044094</v>
      </c>
      <c r="Z35">
        <v>90</v>
      </c>
      <c r="AA35">
        <v>90</v>
      </c>
      <c r="AB35">
        <v>0</v>
      </c>
      <c r="AC35" s="3">
        <v>15767.6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3">
        <v>15767.6</v>
      </c>
      <c r="AK35">
        <v>0</v>
      </c>
      <c r="AL35">
        <v>0</v>
      </c>
      <c r="AM35">
        <v>0</v>
      </c>
      <c r="AN35" t="s">
        <v>62</v>
      </c>
      <c r="AT35">
        <v>47803</v>
      </c>
      <c r="AU35" t="s">
        <v>63</v>
      </c>
      <c r="AV35" s="1">
        <v>45757</v>
      </c>
      <c r="AW35" s="2">
        <v>0.61458333333333337</v>
      </c>
      <c r="AX35" t="s">
        <v>63</v>
      </c>
      <c r="AY35" s="1">
        <v>45758</v>
      </c>
      <c r="AZ35" s="2">
        <v>0.56180555555555556</v>
      </c>
    </row>
    <row r="36" spans="1:52" x14ac:dyDescent="0.2">
      <c r="A36" s="1">
        <v>45720</v>
      </c>
      <c r="B36" s="2">
        <v>0.63472222222222219</v>
      </c>
      <c r="C36" s="3">
        <v>39139.65</v>
      </c>
      <c r="E36" t="s">
        <v>94</v>
      </c>
      <c r="F36" t="s">
        <v>53</v>
      </c>
      <c r="G36" t="s">
        <v>95</v>
      </c>
      <c r="H36" t="s">
        <v>188</v>
      </c>
      <c r="I36" t="s">
        <v>97</v>
      </c>
      <c r="J36" t="s">
        <v>57</v>
      </c>
      <c r="K36" t="s">
        <v>58</v>
      </c>
      <c r="L36" t="s">
        <v>59</v>
      </c>
      <c r="N36" s="1">
        <v>45720</v>
      </c>
      <c r="O36" s="2">
        <v>0</v>
      </c>
      <c r="P36" s="3">
        <v>35581.5</v>
      </c>
      <c r="Q36">
        <v>0</v>
      </c>
      <c r="S36" t="s">
        <v>189</v>
      </c>
      <c r="U36" t="s">
        <v>99</v>
      </c>
      <c r="V36" t="str">
        <f>"0510252318"</f>
        <v>0510252318</v>
      </c>
      <c r="Z36">
        <v>5</v>
      </c>
      <c r="AA36">
        <v>5</v>
      </c>
      <c r="AB36">
        <v>0</v>
      </c>
      <c r="AC36" s="3">
        <v>3953.5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3">
        <v>3953.5</v>
      </c>
      <c r="AK36">
        <v>0</v>
      </c>
      <c r="AL36">
        <v>0</v>
      </c>
      <c r="AM36">
        <v>0</v>
      </c>
      <c r="AN36" t="s">
        <v>62</v>
      </c>
      <c r="AT36">
        <v>48037</v>
      </c>
      <c r="AU36" t="s">
        <v>63</v>
      </c>
      <c r="AV36" s="1">
        <v>45768</v>
      </c>
      <c r="AW36" s="2">
        <v>0.63472222222222219</v>
      </c>
    </row>
    <row r="37" spans="1:52" x14ac:dyDescent="0.2">
      <c r="A37" s="1">
        <v>45720</v>
      </c>
      <c r="B37" s="2">
        <v>0.64722222222222225</v>
      </c>
      <c r="C37" s="3">
        <v>234465.17</v>
      </c>
      <c r="E37" t="s">
        <v>72</v>
      </c>
      <c r="F37" t="s">
        <v>53</v>
      </c>
      <c r="G37" t="s">
        <v>73</v>
      </c>
      <c r="H37" t="s">
        <v>190</v>
      </c>
      <c r="I37" t="s">
        <v>75</v>
      </c>
      <c r="J37" t="s">
        <v>76</v>
      </c>
      <c r="K37" t="s">
        <v>77</v>
      </c>
      <c r="L37" t="s">
        <v>59</v>
      </c>
      <c r="N37" s="1">
        <v>45720</v>
      </c>
      <c r="O37" s="2">
        <v>0</v>
      </c>
      <c r="P37" s="3">
        <v>213150.15</v>
      </c>
      <c r="Q37">
        <v>0</v>
      </c>
      <c r="S37" t="s">
        <v>191</v>
      </c>
      <c r="U37" t="s">
        <v>71</v>
      </c>
      <c r="V37">
        <v>3300010805</v>
      </c>
      <c r="Z37">
        <v>133</v>
      </c>
      <c r="AA37">
        <v>133</v>
      </c>
      <c r="AB37">
        <v>0</v>
      </c>
      <c r="AC37" s="3">
        <v>23683.35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3">
        <v>23683.35</v>
      </c>
      <c r="AK37">
        <v>0</v>
      </c>
      <c r="AL37">
        <v>0</v>
      </c>
      <c r="AM37">
        <v>0</v>
      </c>
      <c r="AN37" t="s">
        <v>62</v>
      </c>
      <c r="AT37">
        <v>47233</v>
      </c>
      <c r="AU37" t="s">
        <v>63</v>
      </c>
      <c r="AV37" s="1">
        <v>45730</v>
      </c>
      <c r="AW37" s="2">
        <v>0.64722222222222225</v>
      </c>
      <c r="AX37" t="s">
        <v>63</v>
      </c>
      <c r="AY37" s="1">
        <v>45731</v>
      </c>
      <c r="AZ37" s="2">
        <v>0.56944444444444442</v>
      </c>
    </row>
    <row r="38" spans="1:52" x14ac:dyDescent="0.2">
      <c r="A38" s="1">
        <v>45721</v>
      </c>
      <c r="B38" s="2">
        <v>0.67708333333333337</v>
      </c>
      <c r="C38" s="3">
        <v>154360.79999999999</v>
      </c>
      <c r="E38" t="s">
        <v>94</v>
      </c>
      <c r="F38" t="s">
        <v>53</v>
      </c>
      <c r="G38" t="s">
        <v>95</v>
      </c>
      <c r="H38" t="s">
        <v>192</v>
      </c>
      <c r="I38" t="s">
        <v>97</v>
      </c>
      <c r="J38" t="s">
        <v>57</v>
      </c>
      <c r="K38" t="s">
        <v>58</v>
      </c>
      <c r="L38" t="s">
        <v>59</v>
      </c>
      <c r="N38" s="1">
        <v>45721</v>
      </c>
      <c r="O38" s="2">
        <v>0</v>
      </c>
      <c r="P38" s="3">
        <v>140328</v>
      </c>
      <c r="Q38">
        <v>0</v>
      </c>
      <c r="S38" t="s">
        <v>193</v>
      </c>
      <c r="U38" t="s">
        <v>99</v>
      </c>
      <c r="V38" t="str">
        <f>"0510252318"</f>
        <v>0510252318</v>
      </c>
      <c r="Z38">
        <v>20</v>
      </c>
      <c r="AA38">
        <v>20</v>
      </c>
      <c r="AB38">
        <v>0</v>
      </c>
      <c r="AC38" s="3">
        <v>15592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3">
        <v>15592</v>
      </c>
      <c r="AK38">
        <v>0</v>
      </c>
      <c r="AL38">
        <v>0</v>
      </c>
      <c r="AM38">
        <v>0</v>
      </c>
      <c r="AN38" t="s">
        <v>62</v>
      </c>
      <c r="AT38">
        <v>48040</v>
      </c>
      <c r="AU38" t="s">
        <v>63</v>
      </c>
      <c r="AV38" s="1">
        <v>45768</v>
      </c>
      <c r="AW38" s="2">
        <v>0.67708333333333337</v>
      </c>
    </row>
    <row r="39" spans="1:52" x14ac:dyDescent="0.2">
      <c r="A39" s="1">
        <v>45722</v>
      </c>
      <c r="B39" s="2">
        <v>0.64513888888888882</v>
      </c>
      <c r="C39" s="3">
        <v>12716</v>
      </c>
      <c r="E39" t="s">
        <v>85</v>
      </c>
      <c r="F39" t="s">
        <v>53</v>
      </c>
      <c r="G39" t="s">
        <v>86</v>
      </c>
      <c r="H39" t="s">
        <v>194</v>
      </c>
      <c r="I39" t="s">
        <v>75</v>
      </c>
      <c r="J39" t="s">
        <v>88</v>
      </c>
      <c r="K39" t="s">
        <v>89</v>
      </c>
      <c r="L39" t="s">
        <v>59</v>
      </c>
      <c r="N39" s="1">
        <v>45722</v>
      </c>
      <c r="O39" s="2">
        <v>0</v>
      </c>
      <c r="P39" s="3">
        <v>11560</v>
      </c>
      <c r="Q39">
        <v>0</v>
      </c>
      <c r="S39" t="s">
        <v>195</v>
      </c>
      <c r="U39" t="s">
        <v>88</v>
      </c>
      <c r="V39">
        <v>6550441143</v>
      </c>
      <c r="Z39">
        <v>2</v>
      </c>
      <c r="AA39">
        <v>2</v>
      </c>
      <c r="AB39">
        <v>0</v>
      </c>
      <c r="AC39" s="3">
        <v>2040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3">
        <v>2040</v>
      </c>
      <c r="AK39">
        <v>0</v>
      </c>
      <c r="AL39">
        <v>0</v>
      </c>
      <c r="AM39">
        <v>0</v>
      </c>
      <c r="AN39" t="s">
        <v>62</v>
      </c>
      <c r="AT39">
        <v>47231</v>
      </c>
      <c r="AU39" t="s">
        <v>63</v>
      </c>
      <c r="AV39" s="1">
        <v>45730</v>
      </c>
      <c r="AW39" s="2">
        <v>0.64513888888888882</v>
      </c>
    </row>
    <row r="40" spans="1:52" x14ac:dyDescent="0.2">
      <c r="A40" s="1">
        <v>45722</v>
      </c>
      <c r="B40" s="2">
        <v>0.64583333333333337</v>
      </c>
      <c r="C40" s="3">
        <v>17582.400000000001</v>
      </c>
      <c r="E40" t="s">
        <v>79</v>
      </c>
      <c r="F40" t="s">
        <v>53</v>
      </c>
      <c r="G40" t="s">
        <v>80</v>
      </c>
      <c r="H40" t="s">
        <v>196</v>
      </c>
      <c r="I40" t="s">
        <v>82</v>
      </c>
      <c r="J40" t="s">
        <v>68</v>
      </c>
      <c r="K40" t="s">
        <v>77</v>
      </c>
      <c r="L40" t="s">
        <v>59</v>
      </c>
      <c r="N40" s="1">
        <v>45722</v>
      </c>
      <c r="O40" s="2">
        <v>0</v>
      </c>
      <c r="P40" s="3">
        <v>15984</v>
      </c>
      <c r="Q40">
        <v>0</v>
      </c>
      <c r="S40" t="s">
        <v>197</v>
      </c>
      <c r="U40" t="s">
        <v>84</v>
      </c>
      <c r="V40">
        <v>4060032834</v>
      </c>
      <c r="Z40">
        <v>4</v>
      </c>
      <c r="AA40">
        <v>4</v>
      </c>
      <c r="AB40">
        <v>0</v>
      </c>
      <c r="AC40" s="3">
        <v>1776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3">
        <v>1776</v>
      </c>
      <c r="AK40">
        <v>0</v>
      </c>
      <c r="AL40">
        <v>0</v>
      </c>
      <c r="AM40">
        <v>0</v>
      </c>
      <c r="AN40" t="s">
        <v>62</v>
      </c>
      <c r="AT40">
        <v>47232</v>
      </c>
      <c r="AU40" t="s">
        <v>63</v>
      </c>
      <c r="AV40" s="1">
        <v>45730</v>
      </c>
      <c r="AW40" s="2">
        <v>0.64583333333333337</v>
      </c>
    </row>
    <row r="41" spans="1:52" x14ac:dyDescent="0.2">
      <c r="A41" s="1">
        <v>45723</v>
      </c>
      <c r="B41" s="2">
        <v>0.65138888888888891</v>
      </c>
      <c r="C41" s="3">
        <v>110143</v>
      </c>
      <c r="E41" t="s">
        <v>198</v>
      </c>
      <c r="F41" t="s">
        <v>53</v>
      </c>
      <c r="G41" t="s">
        <v>199</v>
      </c>
      <c r="H41" t="s">
        <v>200</v>
      </c>
      <c r="I41" t="s">
        <v>75</v>
      </c>
      <c r="J41" t="s">
        <v>201</v>
      </c>
      <c r="K41" t="s">
        <v>202</v>
      </c>
      <c r="L41" t="s">
        <v>59</v>
      </c>
      <c r="N41" s="1">
        <v>45723</v>
      </c>
      <c r="O41" s="2">
        <v>0</v>
      </c>
      <c r="P41" s="3">
        <v>100130</v>
      </c>
      <c r="Q41">
        <v>0</v>
      </c>
      <c r="S41" t="s">
        <v>203</v>
      </c>
      <c r="U41" t="s">
        <v>204</v>
      </c>
      <c r="V41">
        <v>2931031539</v>
      </c>
      <c r="Z41">
        <v>40</v>
      </c>
      <c r="AA41">
        <v>40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t="s">
        <v>62</v>
      </c>
      <c r="AT41">
        <v>47872</v>
      </c>
      <c r="AU41" t="s">
        <v>63</v>
      </c>
      <c r="AV41" s="1">
        <v>45761</v>
      </c>
      <c r="AW41" s="2">
        <v>0.65138888888888891</v>
      </c>
    </row>
    <row r="42" spans="1:52" x14ac:dyDescent="0.2">
      <c r="A42" s="1">
        <v>45728</v>
      </c>
      <c r="B42" s="2">
        <v>0.44375000000000003</v>
      </c>
      <c r="C42" s="3">
        <v>8791.2000000000007</v>
      </c>
      <c r="E42" t="s">
        <v>79</v>
      </c>
      <c r="F42" t="s">
        <v>53</v>
      </c>
      <c r="G42" t="s">
        <v>80</v>
      </c>
      <c r="H42" t="s">
        <v>205</v>
      </c>
      <c r="I42" t="s">
        <v>82</v>
      </c>
      <c r="J42" t="s">
        <v>68</v>
      </c>
      <c r="K42" t="s">
        <v>77</v>
      </c>
      <c r="L42" t="s">
        <v>59</v>
      </c>
      <c r="N42" s="1">
        <v>45728</v>
      </c>
      <c r="O42" s="2">
        <v>0</v>
      </c>
      <c r="P42" s="3">
        <v>7992</v>
      </c>
      <c r="Q42">
        <v>0</v>
      </c>
      <c r="S42" t="s">
        <v>206</v>
      </c>
      <c r="U42" t="s">
        <v>84</v>
      </c>
      <c r="V42">
        <v>4060032834</v>
      </c>
      <c r="Z42">
        <v>2</v>
      </c>
      <c r="AA42">
        <v>2</v>
      </c>
      <c r="AB42">
        <v>0</v>
      </c>
      <c r="AC42">
        <v>888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888</v>
      </c>
      <c r="AK42">
        <v>0</v>
      </c>
      <c r="AL42">
        <v>0</v>
      </c>
      <c r="AM42">
        <v>0</v>
      </c>
      <c r="AN42" t="s">
        <v>62</v>
      </c>
      <c r="AT42">
        <v>47195</v>
      </c>
      <c r="AU42" t="s">
        <v>63</v>
      </c>
      <c r="AV42" s="1">
        <v>45728</v>
      </c>
      <c r="AW42" s="2">
        <v>0.44375000000000003</v>
      </c>
    </row>
    <row r="43" spans="1:52" x14ac:dyDescent="0.2">
      <c r="A43" s="1">
        <v>45728</v>
      </c>
      <c r="B43" s="2">
        <v>0.55833333333333335</v>
      </c>
      <c r="C43" s="3">
        <v>1353.44</v>
      </c>
      <c r="E43" t="s">
        <v>106</v>
      </c>
      <c r="F43" t="s">
        <v>53</v>
      </c>
      <c r="G43" t="s">
        <v>107</v>
      </c>
      <c r="H43" t="s">
        <v>207</v>
      </c>
      <c r="I43" t="s">
        <v>75</v>
      </c>
      <c r="J43" t="s">
        <v>109</v>
      </c>
      <c r="K43" t="s">
        <v>58</v>
      </c>
      <c r="L43" t="s">
        <v>59</v>
      </c>
      <c r="N43" s="1">
        <v>45728</v>
      </c>
      <c r="O43" s="2">
        <v>0</v>
      </c>
      <c r="P43" s="3">
        <v>1230.4000000000001</v>
      </c>
      <c r="Q43">
        <v>0</v>
      </c>
      <c r="S43" t="s">
        <v>208</v>
      </c>
      <c r="U43" t="s">
        <v>111</v>
      </c>
      <c r="V43">
        <v>9990519300</v>
      </c>
      <c r="Z43">
        <v>1</v>
      </c>
      <c r="AA43">
        <v>1</v>
      </c>
      <c r="AB43">
        <v>0</v>
      </c>
      <c r="AC43">
        <v>0</v>
      </c>
      <c r="AD43">
        <v>307.60000000000002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307.60000000000002</v>
      </c>
      <c r="AK43">
        <v>0</v>
      </c>
      <c r="AL43">
        <v>0</v>
      </c>
      <c r="AM43">
        <v>0</v>
      </c>
      <c r="AN43" t="s">
        <v>62</v>
      </c>
      <c r="AT43">
        <v>47399</v>
      </c>
      <c r="AU43" t="s">
        <v>63</v>
      </c>
      <c r="AV43" s="1">
        <v>45741</v>
      </c>
      <c r="AW43" s="2">
        <v>0.55833333333333335</v>
      </c>
    </row>
    <row r="44" spans="1:52" x14ac:dyDescent="0.2">
      <c r="A44" s="1">
        <v>45730</v>
      </c>
      <c r="B44" s="2">
        <v>0.52361111111111114</v>
      </c>
      <c r="C44" s="3">
        <v>87170.69</v>
      </c>
      <c r="E44" t="s">
        <v>152</v>
      </c>
      <c r="F44" t="s">
        <v>53</v>
      </c>
      <c r="G44" t="s">
        <v>153</v>
      </c>
      <c r="H44" t="s">
        <v>209</v>
      </c>
      <c r="I44" t="s">
        <v>155</v>
      </c>
      <c r="J44" t="s">
        <v>57</v>
      </c>
      <c r="K44" t="s">
        <v>58</v>
      </c>
      <c r="L44" t="s">
        <v>59</v>
      </c>
      <c r="N44" s="1">
        <v>45730</v>
      </c>
      <c r="O44" s="2">
        <v>0</v>
      </c>
      <c r="P44" s="3">
        <v>79246.080000000002</v>
      </c>
      <c r="Q44">
        <v>0</v>
      </c>
      <c r="S44" t="s">
        <v>210</v>
      </c>
      <c r="U44" t="s">
        <v>157</v>
      </c>
      <c r="V44">
        <v>4790044094</v>
      </c>
      <c r="Z44">
        <v>42</v>
      </c>
      <c r="AA44">
        <v>42</v>
      </c>
      <c r="AB44">
        <v>0</v>
      </c>
      <c r="AC44" s="3">
        <v>8805.1200000000008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3">
        <v>8805.1200000000008</v>
      </c>
      <c r="AK44">
        <v>0</v>
      </c>
      <c r="AL44">
        <v>0</v>
      </c>
      <c r="AM44">
        <v>0</v>
      </c>
      <c r="AN44" t="s">
        <v>62</v>
      </c>
      <c r="AT44">
        <v>47789</v>
      </c>
      <c r="AU44" t="s">
        <v>63</v>
      </c>
      <c r="AV44" s="1">
        <v>45757</v>
      </c>
      <c r="AW44" s="2">
        <v>0.52361111111111114</v>
      </c>
    </row>
    <row r="45" spans="1:52" x14ac:dyDescent="0.2">
      <c r="A45" s="1">
        <v>45730</v>
      </c>
      <c r="B45" s="2">
        <v>0.59861111111111109</v>
      </c>
      <c r="C45" s="3">
        <v>19060.8</v>
      </c>
      <c r="E45" t="s">
        <v>152</v>
      </c>
      <c r="F45" t="s">
        <v>53</v>
      </c>
      <c r="G45" t="s">
        <v>153</v>
      </c>
      <c r="H45" t="s">
        <v>211</v>
      </c>
      <c r="I45" t="s">
        <v>155</v>
      </c>
      <c r="J45" t="s">
        <v>57</v>
      </c>
      <c r="K45" t="s">
        <v>58</v>
      </c>
      <c r="L45" t="s">
        <v>59</v>
      </c>
      <c r="N45" s="1">
        <v>45730</v>
      </c>
      <c r="O45" s="2">
        <v>0</v>
      </c>
      <c r="P45" s="3">
        <v>17328</v>
      </c>
      <c r="Q45">
        <v>0</v>
      </c>
      <c r="S45" t="s">
        <v>212</v>
      </c>
      <c r="U45" t="s">
        <v>157</v>
      </c>
      <c r="V45">
        <v>4790044094</v>
      </c>
      <c r="Z45">
        <v>13</v>
      </c>
      <c r="AA45">
        <v>13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62</v>
      </c>
      <c r="AT45">
        <v>47775</v>
      </c>
      <c r="AU45" t="s">
        <v>63</v>
      </c>
      <c r="AV45" s="1">
        <v>45756</v>
      </c>
      <c r="AW45" s="2">
        <v>0.59861111111111109</v>
      </c>
    </row>
    <row r="46" spans="1:52" x14ac:dyDescent="0.2">
      <c r="A46" s="1">
        <v>45730</v>
      </c>
      <c r="B46" s="2">
        <v>0.62430555555555556</v>
      </c>
      <c r="C46" s="3">
        <v>33155.599999999999</v>
      </c>
      <c r="E46" t="s">
        <v>72</v>
      </c>
      <c r="F46" t="s">
        <v>53</v>
      </c>
      <c r="G46" t="s">
        <v>73</v>
      </c>
      <c r="H46" t="s">
        <v>213</v>
      </c>
      <c r="I46" t="s">
        <v>75</v>
      </c>
      <c r="J46" t="s">
        <v>76</v>
      </c>
      <c r="K46" t="s">
        <v>77</v>
      </c>
      <c r="L46" t="s">
        <v>59</v>
      </c>
      <c r="N46" s="1">
        <v>45730</v>
      </c>
      <c r="O46" s="2">
        <v>0</v>
      </c>
      <c r="P46" s="3">
        <v>30141.45</v>
      </c>
      <c r="Q46">
        <v>0</v>
      </c>
      <c r="S46" t="s">
        <v>214</v>
      </c>
      <c r="U46" t="s">
        <v>71</v>
      </c>
      <c r="V46">
        <v>3300010805</v>
      </c>
      <c r="Z46">
        <v>19</v>
      </c>
      <c r="AA46">
        <v>19</v>
      </c>
      <c r="AB46">
        <v>0</v>
      </c>
      <c r="AC46" s="3">
        <v>3349.05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3">
        <v>3349.05</v>
      </c>
      <c r="AK46">
        <v>0</v>
      </c>
      <c r="AL46">
        <v>0</v>
      </c>
      <c r="AM46">
        <v>0</v>
      </c>
      <c r="AN46" t="s">
        <v>62</v>
      </c>
      <c r="AT46">
        <v>47695</v>
      </c>
      <c r="AU46" t="s">
        <v>63</v>
      </c>
      <c r="AV46" s="1">
        <v>45752</v>
      </c>
      <c r="AW46" s="2">
        <v>0.62430555555555556</v>
      </c>
    </row>
    <row r="47" spans="1:52" x14ac:dyDescent="0.2">
      <c r="A47" s="1">
        <v>45733</v>
      </c>
      <c r="B47" s="2">
        <v>0.47013888888888888</v>
      </c>
      <c r="C47" s="3">
        <v>77055</v>
      </c>
      <c r="E47" t="s">
        <v>79</v>
      </c>
      <c r="F47" t="s">
        <v>53</v>
      </c>
      <c r="G47" t="s">
        <v>80</v>
      </c>
      <c r="H47" t="s">
        <v>215</v>
      </c>
      <c r="I47" t="s">
        <v>82</v>
      </c>
      <c r="J47" t="s">
        <v>68</v>
      </c>
      <c r="K47" t="s">
        <v>77</v>
      </c>
      <c r="L47" t="s">
        <v>59</v>
      </c>
      <c r="N47" s="1">
        <v>45733</v>
      </c>
      <c r="O47" s="2">
        <v>0</v>
      </c>
      <c r="P47" s="3">
        <v>70050</v>
      </c>
      <c r="Q47">
        <v>0</v>
      </c>
      <c r="S47" t="s">
        <v>216</v>
      </c>
      <c r="U47" t="s">
        <v>84</v>
      </c>
      <c r="V47">
        <v>4060032834</v>
      </c>
      <c r="Z47">
        <v>34</v>
      </c>
      <c r="AA47">
        <v>34</v>
      </c>
      <c r="AB47">
        <v>0</v>
      </c>
      <c r="AC47" s="3">
        <v>6950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3">
        <v>6950</v>
      </c>
      <c r="AK47">
        <v>0</v>
      </c>
      <c r="AL47">
        <v>0</v>
      </c>
      <c r="AM47">
        <v>0</v>
      </c>
      <c r="AN47" t="s">
        <v>62</v>
      </c>
      <c r="AT47">
        <v>47827</v>
      </c>
      <c r="AU47" t="s">
        <v>63</v>
      </c>
      <c r="AV47" s="1">
        <v>45759</v>
      </c>
      <c r="AW47" s="2">
        <v>0.47013888888888888</v>
      </c>
    </row>
    <row r="48" spans="1:52" x14ac:dyDescent="0.2">
      <c r="A48" s="1">
        <v>45733</v>
      </c>
      <c r="B48" s="2">
        <v>0.48194444444444445</v>
      </c>
      <c r="C48" s="3">
        <v>9614</v>
      </c>
      <c r="E48" t="s">
        <v>152</v>
      </c>
      <c r="F48" t="s">
        <v>53</v>
      </c>
      <c r="G48" t="s">
        <v>153</v>
      </c>
      <c r="H48" t="s">
        <v>217</v>
      </c>
      <c r="I48" t="s">
        <v>155</v>
      </c>
      <c r="J48" t="s">
        <v>57</v>
      </c>
      <c r="K48" t="s">
        <v>58</v>
      </c>
      <c r="L48" t="s">
        <v>59</v>
      </c>
      <c r="N48" s="1">
        <v>45733</v>
      </c>
      <c r="O48" s="2">
        <v>0</v>
      </c>
      <c r="P48" s="3">
        <v>8740</v>
      </c>
      <c r="Q48">
        <v>0</v>
      </c>
      <c r="S48" t="s">
        <v>218</v>
      </c>
      <c r="U48" t="s">
        <v>157</v>
      </c>
      <c r="V48">
        <v>4790044094</v>
      </c>
      <c r="Z48">
        <v>10</v>
      </c>
      <c r="AA48">
        <v>10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 t="s">
        <v>62</v>
      </c>
      <c r="AT48">
        <v>47771</v>
      </c>
      <c r="AU48" t="s">
        <v>63</v>
      </c>
      <c r="AV48" s="1">
        <v>45756</v>
      </c>
      <c r="AW48" s="2">
        <v>0.48194444444444445</v>
      </c>
    </row>
    <row r="49" spans="1:53" x14ac:dyDescent="0.2">
      <c r="A49" s="1">
        <v>45733</v>
      </c>
      <c r="B49" s="2">
        <v>0.4861111111111111</v>
      </c>
      <c r="C49" s="3">
        <v>202127.2</v>
      </c>
      <c r="E49" t="s">
        <v>219</v>
      </c>
      <c r="F49" t="s">
        <v>53</v>
      </c>
      <c r="G49" t="s">
        <v>220</v>
      </c>
      <c r="H49" t="s">
        <v>221</v>
      </c>
      <c r="I49" t="s">
        <v>75</v>
      </c>
      <c r="J49" t="s">
        <v>68</v>
      </c>
      <c r="K49" t="s">
        <v>77</v>
      </c>
      <c r="L49" t="s">
        <v>59</v>
      </c>
      <c r="N49" s="1">
        <v>45733</v>
      </c>
      <c r="O49" s="2">
        <v>0</v>
      </c>
      <c r="P49" s="3">
        <v>183752</v>
      </c>
      <c r="Q49">
        <v>0</v>
      </c>
      <c r="S49" t="s">
        <v>222</v>
      </c>
      <c r="U49" t="s">
        <v>71</v>
      </c>
      <c r="V49">
        <v>6220021583</v>
      </c>
      <c r="Z49">
        <v>106</v>
      </c>
      <c r="AA49">
        <v>106</v>
      </c>
      <c r="AB49">
        <v>0</v>
      </c>
      <c r="AC49">
        <v>0</v>
      </c>
      <c r="AD49" s="3">
        <v>45938</v>
      </c>
      <c r="AE49">
        <v>0</v>
      </c>
      <c r="AF49">
        <v>0</v>
      </c>
      <c r="AG49">
        <v>0</v>
      </c>
      <c r="AH49">
        <v>0</v>
      </c>
      <c r="AI49">
        <v>0</v>
      </c>
      <c r="AJ49" s="3">
        <v>45938</v>
      </c>
      <c r="AK49">
        <v>0</v>
      </c>
      <c r="AL49">
        <v>0</v>
      </c>
      <c r="AM49">
        <v>0</v>
      </c>
      <c r="AN49" t="s">
        <v>62</v>
      </c>
      <c r="AT49">
        <v>47923</v>
      </c>
      <c r="AU49" t="s">
        <v>63</v>
      </c>
      <c r="AV49" s="1">
        <v>45764</v>
      </c>
      <c r="AW49" s="2">
        <v>0.4861111111111111</v>
      </c>
    </row>
    <row r="50" spans="1:53" x14ac:dyDescent="0.2">
      <c r="A50" s="1">
        <v>45733</v>
      </c>
      <c r="B50" s="2">
        <v>0.49791666666666662</v>
      </c>
      <c r="C50" s="3">
        <v>51468.62</v>
      </c>
      <c r="E50" t="s">
        <v>117</v>
      </c>
      <c r="F50" t="s">
        <v>53</v>
      </c>
      <c r="G50" t="s">
        <v>118</v>
      </c>
      <c r="H50" t="s">
        <v>223</v>
      </c>
      <c r="I50" t="s">
        <v>120</v>
      </c>
      <c r="J50" t="s">
        <v>121</v>
      </c>
      <c r="K50" t="s">
        <v>77</v>
      </c>
      <c r="L50" t="s">
        <v>59</v>
      </c>
      <c r="N50" s="1">
        <v>45733</v>
      </c>
      <c r="O50" s="2">
        <v>0</v>
      </c>
      <c r="P50" s="3">
        <v>46789.65</v>
      </c>
      <c r="Q50">
        <v>0</v>
      </c>
      <c r="S50" t="s">
        <v>141</v>
      </c>
      <c r="U50" t="s">
        <v>71</v>
      </c>
      <c r="V50">
        <v>2560064195</v>
      </c>
      <c r="Z50">
        <v>53</v>
      </c>
      <c r="AA50">
        <v>53</v>
      </c>
      <c r="AB50">
        <v>0</v>
      </c>
      <c r="AC50" s="3">
        <v>5198.8500000000004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3">
        <v>5198.8500000000004</v>
      </c>
      <c r="AK50">
        <v>0</v>
      </c>
      <c r="AL50">
        <v>0</v>
      </c>
      <c r="AM50">
        <v>0</v>
      </c>
      <c r="AN50" t="s">
        <v>62</v>
      </c>
      <c r="AT50">
        <v>47924</v>
      </c>
      <c r="AU50" t="s">
        <v>63</v>
      </c>
      <c r="AV50" s="1">
        <v>45764</v>
      </c>
      <c r="AW50" s="2">
        <v>0.49791666666666662</v>
      </c>
    </row>
    <row r="51" spans="1:53" x14ac:dyDescent="0.2">
      <c r="A51" s="1">
        <v>45733</v>
      </c>
      <c r="B51" s="2">
        <v>0.51388888888888895</v>
      </c>
      <c r="C51" s="3">
        <v>73854</v>
      </c>
      <c r="E51" t="s">
        <v>177</v>
      </c>
      <c r="F51" t="s">
        <v>53</v>
      </c>
      <c r="G51" t="s">
        <v>178</v>
      </c>
      <c r="H51" t="s">
        <v>224</v>
      </c>
      <c r="I51" t="s">
        <v>180</v>
      </c>
      <c r="J51" t="s">
        <v>181</v>
      </c>
      <c r="K51" t="s">
        <v>77</v>
      </c>
      <c r="L51" t="s">
        <v>59</v>
      </c>
      <c r="N51" s="1">
        <v>45733</v>
      </c>
      <c r="O51" s="2">
        <v>0</v>
      </c>
      <c r="P51" s="3">
        <v>67140</v>
      </c>
      <c r="Q51">
        <v>0</v>
      </c>
      <c r="S51" t="s">
        <v>225</v>
      </c>
      <c r="U51" t="s">
        <v>183</v>
      </c>
      <c r="V51">
        <v>4700088718</v>
      </c>
      <c r="Z51">
        <v>28</v>
      </c>
      <c r="AA51">
        <v>28</v>
      </c>
      <c r="AB51">
        <v>0</v>
      </c>
      <c r="AC51" s="3">
        <v>7460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3">
        <v>7460</v>
      </c>
      <c r="AK51">
        <v>0</v>
      </c>
      <c r="AL51">
        <v>0</v>
      </c>
      <c r="AM51">
        <v>0</v>
      </c>
      <c r="AN51" t="s">
        <v>62</v>
      </c>
      <c r="AT51">
        <v>47503</v>
      </c>
      <c r="AU51" t="s">
        <v>63</v>
      </c>
      <c r="AV51" s="1">
        <v>45745</v>
      </c>
      <c r="AW51" s="2">
        <v>0.51388888888888895</v>
      </c>
    </row>
    <row r="52" spans="1:53" x14ac:dyDescent="0.2">
      <c r="A52" s="1">
        <v>45733</v>
      </c>
      <c r="B52" s="2">
        <v>0.63888888888888895</v>
      </c>
      <c r="C52" s="3">
        <v>23258.07</v>
      </c>
      <c r="E52" t="s">
        <v>72</v>
      </c>
      <c r="F52" t="s">
        <v>53</v>
      </c>
      <c r="G52" t="s">
        <v>73</v>
      </c>
      <c r="H52" t="s">
        <v>226</v>
      </c>
      <c r="I52" t="s">
        <v>75</v>
      </c>
      <c r="J52" t="s">
        <v>76</v>
      </c>
      <c r="K52" t="s">
        <v>77</v>
      </c>
      <c r="L52" t="s">
        <v>59</v>
      </c>
      <c r="N52" s="1">
        <v>45733</v>
      </c>
      <c r="O52" s="2">
        <v>0</v>
      </c>
      <c r="P52" s="3">
        <v>21143.7</v>
      </c>
      <c r="Q52">
        <v>0</v>
      </c>
      <c r="S52" t="s">
        <v>227</v>
      </c>
      <c r="U52" t="s">
        <v>71</v>
      </c>
      <c r="V52">
        <v>3300010805</v>
      </c>
      <c r="Z52">
        <v>14</v>
      </c>
      <c r="AA52">
        <v>14</v>
      </c>
      <c r="AB52">
        <v>0</v>
      </c>
      <c r="AC52" s="3">
        <v>2349.3000000000002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3">
        <v>2349.3000000000002</v>
      </c>
      <c r="AK52">
        <v>0</v>
      </c>
      <c r="AL52">
        <v>0</v>
      </c>
      <c r="AM52">
        <v>0</v>
      </c>
      <c r="AN52" t="s">
        <v>62</v>
      </c>
      <c r="AT52">
        <v>47699</v>
      </c>
      <c r="AU52" t="s">
        <v>63</v>
      </c>
      <c r="AV52" s="1">
        <v>45752</v>
      </c>
      <c r="AW52" s="2">
        <v>0.63888888888888895</v>
      </c>
    </row>
    <row r="53" spans="1:53" x14ac:dyDescent="0.2">
      <c r="A53" s="1">
        <v>45733</v>
      </c>
      <c r="B53" s="2">
        <v>0.68263888888888891</v>
      </c>
      <c r="C53" s="3">
        <v>76487.399999999994</v>
      </c>
      <c r="E53" t="s">
        <v>94</v>
      </c>
      <c r="F53" t="s">
        <v>53</v>
      </c>
      <c r="G53" t="s">
        <v>95</v>
      </c>
      <c r="H53" t="s">
        <v>228</v>
      </c>
      <c r="I53" t="s">
        <v>97</v>
      </c>
      <c r="J53" t="s">
        <v>57</v>
      </c>
      <c r="K53" t="s">
        <v>58</v>
      </c>
      <c r="L53" t="s">
        <v>59</v>
      </c>
      <c r="N53" s="1">
        <v>45733</v>
      </c>
      <c r="O53" s="2">
        <v>0</v>
      </c>
      <c r="P53" s="3">
        <v>69534</v>
      </c>
      <c r="Q53">
        <v>0</v>
      </c>
      <c r="S53" t="s">
        <v>229</v>
      </c>
      <c r="U53" t="s">
        <v>99</v>
      </c>
      <c r="V53" t="str">
        <f>"0510252318"</f>
        <v>0510252318</v>
      </c>
      <c r="Z53">
        <v>10</v>
      </c>
      <c r="AA53">
        <v>10</v>
      </c>
      <c r="AB53">
        <v>0</v>
      </c>
      <c r="AC53" s="3">
        <v>7726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3">
        <v>7726</v>
      </c>
      <c r="AK53">
        <v>0</v>
      </c>
      <c r="AL53">
        <v>0</v>
      </c>
      <c r="AM53">
        <v>0</v>
      </c>
      <c r="AN53" t="s">
        <v>62</v>
      </c>
      <c r="AT53">
        <v>48041</v>
      </c>
      <c r="AU53" t="s">
        <v>63</v>
      </c>
      <c r="AV53" s="1">
        <v>45768</v>
      </c>
      <c r="AW53" s="2">
        <v>0.68263888888888891</v>
      </c>
    </row>
    <row r="54" spans="1:53" x14ac:dyDescent="0.2">
      <c r="A54" s="1">
        <v>45733</v>
      </c>
      <c r="B54" s="2">
        <v>0.69861111111111107</v>
      </c>
      <c r="C54" s="3">
        <v>1536.79</v>
      </c>
      <c r="E54" t="s">
        <v>106</v>
      </c>
      <c r="F54" t="s">
        <v>53</v>
      </c>
      <c r="G54" t="s">
        <v>107</v>
      </c>
      <c r="H54" t="s">
        <v>230</v>
      </c>
      <c r="I54" t="s">
        <v>75</v>
      </c>
      <c r="J54" t="s">
        <v>109</v>
      </c>
      <c r="K54" t="s">
        <v>58</v>
      </c>
      <c r="L54" t="s">
        <v>59</v>
      </c>
      <c r="N54" s="1">
        <v>45733</v>
      </c>
      <c r="O54" s="2">
        <v>0</v>
      </c>
      <c r="P54" s="3">
        <v>1280.6600000000001</v>
      </c>
      <c r="Q54">
        <v>0</v>
      </c>
      <c r="S54" t="s">
        <v>231</v>
      </c>
      <c r="U54" t="s">
        <v>111</v>
      </c>
      <c r="V54">
        <v>9990519300</v>
      </c>
      <c r="Z54">
        <v>3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t="s">
        <v>62</v>
      </c>
      <c r="AT54">
        <v>47915</v>
      </c>
      <c r="AU54" t="s">
        <v>63</v>
      </c>
      <c r="AV54" s="1">
        <v>45763</v>
      </c>
      <c r="AW54" s="2">
        <v>0.69861111111111107</v>
      </c>
    </row>
    <row r="55" spans="1:53" x14ac:dyDescent="0.2">
      <c r="A55" s="1">
        <v>45734</v>
      </c>
      <c r="B55" s="2">
        <v>0.48958333333333331</v>
      </c>
      <c r="C55" s="3">
        <v>16327.87</v>
      </c>
      <c r="E55" t="s">
        <v>106</v>
      </c>
      <c r="F55" t="s">
        <v>53</v>
      </c>
      <c r="G55" t="s">
        <v>107</v>
      </c>
      <c r="H55" t="s">
        <v>232</v>
      </c>
      <c r="I55" t="s">
        <v>75</v>
      </c>
      <c r="J55" t="s">
        <v>109</v>
      </c>
      <c r="K55" t="s">
        <v>58</v>
      </c>
      <c r="L55" t="s">
        <v>59</v>
      </c>
      <c r="N55" s="1">
        <v>45734</v>
      </c>
      <c r="O55" s="2">
        <v>0</v>
      </c>
      <c r="P55" s="3">
        <v>14843.52</v>
      </c>
      <c r="Q55">
        <v>0</v>
      </c>
      <c r="S55" t="s">
        <v>233</v>
      </c>
      <c r="U55" t="s">
        <v>111</v>
      </c>
      <c r="V55">
        <v>9990519300</v>
      </c>
      <c r="Z55">
        <v>8</v>
      </c>
      <c r="AA55">
        <v>8</v>
      </c>
      <c r="AB55">
        <v>0</v>
      </c>
      <c r="AC55">
        <v>0</v>
      </c>
      <c r="AD55" s="3">
        <v>3710.88</v>
      </c>
      <c r="AE55">
        <v>0</v>
      </c>
      <c r="AF55">
        <v>0</v>
      </c>
      <c r="AG55">
        <v>0</v>
      </c>
      <c r="AH55">
        <v>0</v>
      </c>
      <c r="AI55">
        <v>0</v>
      </c>
      <c r="AJ55" s="3">
        <v>3710.88</v>
      </c>
      <c r="AK55">
        <v>0</v>
      </c>
      <c r="AL55">
        <v>0</v>
      </c>
      <c r="AM55">
        <v>0</v>
      </c>
      <c r="AN55" t="s">
        <v>62</v>
      </c>
      <c r="AT55">
        <v>47320</v>
      </c>
      <c r="AU55" t="s">
        <v>63</v>
      </c>
      <c r="AV55" s="1">
        <v>45738</v>
      </c>
      <c r="AW55" s="2">
        <v>0.48958333333333331</v>
      </c>
    </row>
    <row r="56" spans="1:53" x14ac:dyDescent="0.2">
      <c r="A56" s="1">
        <v>45734</v>
      </c>
      <c r="B56" s="2">
        <v>0.51458333333333328</v>
      </c>
      <c r="C56" s="3">
        <v>106799</v>
      </c>
      <c r="E56" t="s">
        <v>52</v>
      </c>
      <c r="F56" t="s">
        <v>53</v>
      </c>
      <c r="G56" t="s">
        <v>54</v>
      </c>
      <c r="H56" t="s">
        <v>234</v>
      </c>
      <c r="I56" t="s">
        <v>56</v>
      </c>
      <c r="J56" t="s">
        <v>57</v>
      </c>
      <c r="K56" t="s">
        <v>58</v>
      </c>
      <c r="L56" t="s">
        <v>59</v>
      </c>
      <c r="N56" s="1">
        <v>45734</v>
      </c>
      <c r="O56" s="2">
        <v>0</v>
      </c>
      <c r="P56" s="3">
        <v>97089.99</v>
      </c>
      <c r="Q56">
        <v>0</v>
      </c>
      <c r="S56" t="s">
        <v>235</v>
      </c>
      <c r="U56" t="s">
        <v>61</v>
      </c>
      <c r="V56">
        <v>7710000152</v>
      </c>
      <c r="Z56">
        <v>16</v>
      </c>
      <c r="AA56">
        <v>16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t="s">
        <v>62</v>
      </c>
      <c r="AT56">
        <v>47831</v>
      </c>
      <c r="AU56" t="s">
        <v>63</v>
      </c>
      <c r="AV56" s="1">
        <v>45759</v>
      </c>
      <c r="AW56" s="2">
        <v>0.51458333333333328</v>
      </c>
    </row>
    <row r="57" spans="1:53" x14ac:dyDescent="0.2">
      <c r="A57" s="1">
        <v>45735</v>
      </c>
      <c r="B57" s="2">
        <v>0.49722222222222223</v>
      </c>
      <c r="C57" s="3">
        <v>1210</v>
      </c>
      <c r="E57" t="s">
        <v>236</v>
      </c>
      <c r="F57" t="s">
        <v>53</v>
      </c>
      <c r="G57" t="s">
        <v>237</v>
      </c>
      <c r="H57" t="s">
        <v>238</v>
      </c>
      <c r="I57" t="s">
        <v>75</v>
      </c>
      <c r="J57" t="s">
        <v>239</v>
      </c>
      <c r="K57" t="s">
        <v>240</v>
      </c>
      <c r="L57" t="s">
        <v>59</v>
      </c>
      <c r="N57" s="1">
        <v>45735</v>
      </c>
      <c r="O57" s="2">
        <v>0</v>
      </c>
      <c r="P57" s="3">
        <v>1100</v>
      </c>
      <c r="Q57">
        <v>0</v>
      </c>
      <c r="S57" t="s">
        <v>241</v>
      </c>
      <c r="U57" t="s">
        <v>242</v>
      </c>
      <c r="V57">
        <v>1650013255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62</v>
      </c>
      <c r="AT57">
        <v>47291</v>
      </c>
      <c r="AU57" t="s">
        <v>63</v>
      </c>
      <c r="AV57" s="1">
        <v>45735</v>
      </c>
      <c r="AW57" s="2">
        <v>0.49722222222222223</v>
      </c>
      <c r="BA57" t="s">
        <v>243</v>
      </c>
    </row>
    <row r="58" spans="1:53" x14ac:dyDescent="0.2">
      <c r="A58" s="1">
        <v>45735</v>
      </c>
      <c r="B58" s="2">
        <v>0.51597222222222217</v>
      </c>
      <c r="C58" s="3">
        <v>2672.09</v>
      </c>
      <c r="E58" t="s">
        <v>100</v>
      </c>
      <c r="F58" t="s">
        <v>53</v>
      </c>
      <c r="G58" t="s">
        <v>101</v>
      </c>
      <c r="H58" t="s">
        <v>244</v>
      </c>
      <c r="I58" t="s">
        <v>103</v>
      </c>
      <c r="J58" t="s">
        <v>104</v>
      </c>
      <c r="K58" t="s">
        <v>58</v>
      </c>
      <c r="L58" t="s">
        <v>59</v>
      </c>
      <c r="N58" s="1">
        <v>45735</v>
      </c>
      <c r="O58" s="2">
        <v>0</v>
      </c>
      <c r="P58" s="3">
        <v>2429.17</v>
      </c>
      <c r="Q58">
        <v>0</v>
      </c>
      <c r="S58" t="s">
        <v>245</v>
      </c>
      <c r="U58" t="s">
        <v>61</v>
      </c>
      <c r="V58">
        <v>34528396314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s">
        <v>62</v>
      </c>
      <c r="AT58">
        <v>47292</v>
      </c>
      <c r="AU58" t="s">
        <v>63</v>
      </c>
      <c r="AV58" s="1">
        <v>45735</v>
      </c>
      <c r="AW58" s="2">
        <v>0.51597222222222217</v>
      </c>
    </row>
    <row r="59" spans="1:53" x14ac:dyDescent="0.2">
      <c r="A59" s="1">
        <v>45735</v>
      </c>
      <c r="B59" s="2">
        <v>0.56666666666666665</v>
      </c>
      <c r="C59" s="3">
        <v>6991.6</v>
      </c>
      <c r="E59" t="s">
        <v>152</v>
      </c>
      <c r="F59" t="s">
        <v>53</v>
      </c>
      <c r="G59" t="s">
        <v>153</v>
      </c>
      <c r="H59" t="s">
        <v>246</v>
      </c>
      <c r="I59" t="s">
        <v>155</v>
      </c>
      <c r="J59" t="s">
        <v>57</v>
      </c>
      <c r="K59" t="s">
        <v>58</v>
      </c>
      <c r="L59" t="s">
        <v>59</v>
      </c>
      <c r="N59" s="1">
        <v>45735</v>
      </c>
      <c r="O59" s="2">
        <v>0</v>
      </c>
      <c r="P59" s="3">
        <v>6356</v>
      </c>
      <c r="Q59">
        <v>0</v>
      </c>
      <c r="S59" t="s">
        <v>247</v>
      </c>
      <c r="U59" t="s">
        <v>157</v>
      </c>
      <c r="V59">
        <v>4790044094</v>
      </c>
      <c r="Z59">
        <v>8</v>
      </c>
      <c r="AA59">
        <v>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62</v>
      </c>
      <c r="AT59">
        <v>47732</v>
      </c>
      <c r="AU59" t="s">
        <v>63</v>
      </c>
      <c r="AV59" s="1">
        <v>45754</v>
      </c>
      <c r="AW59" s="2">
        <v>0.56666666666666665</v>
      </c>
    </row>
    <row r="60" spans="1:53" x14ac:dyDescent="0.2">
      <c r="A60" s="1">
        <v>45735</v>
      </c>
      <c r="B60" s="2">
        <v>0.56944444444444442</v>
      </c>
      <c r="C60" s="3">
        <v>50025.1</v>
      </c>
      <c r="E60" t="s">
        <v>152</v>
      </c>
      <c r="F60" t="s">
        <v>53</v>
      </c>
      <c r="G60" t="s">
        <v>153</v>
      </c>
      <c r="H60" t="s">
        <v>248</v>
      </c>
      <c r="I60" t="s">
        <v>155</v>
      </c>
      <c r="J60" t="s">
        <v>57</v>
      </c>
      <c r="K60" t="s">
        <v>58</v>
      </c>
      <c r="L60" t="s">
        <v>59</v>
      </c>
      <c r="N60" s="1">
        <v>45735</v>
      </c>
      <c r="O60" s="2">
        <v>0</v>
      </c>
      <c r="P60" s="3">
        <v>45477.36</v>
      </c>
      <c r="Q60">
        <v>0</v>
      </c>
      <c r="S60" t="s">
        <v>249</v>
      </c>
      <c r="U60" t="s">
        <v>157</v>
      </c>
      <c r="V60">
        <v>4790044094</v>
      </c>
      <c r="Z60">
        <v>27</v>
      </c>
      <c r="AA60">
        <v>27</v>
      </c>
      <c r="AB60">
        <v>0</v>
      </c>
      <c r="AC60" s="3">
        <v>5053.04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3">
        <v>5053.04</v>
      </c>
      <c r="AK60">
        <v>0</v>
      </c>
      <c r="AL60">
        <v>0</v>
      </c>
      <c r="AM60">
        <v>0</v>
      </c>
      <c r="AN60" t="s">
        <v>62</v>
      </c>
      <c r="AT60">
        <v>47733</v>
      </c>
      <c r="AU60" t="s">
        <v>63</v>
      </c>
      <c r="AV60" s="1">
        <v>45754</v>
      </c>
      <c r="AW60" s="2">
        <v>0.56944444444444442</v>
      </c>
    </row>
    <row r="61" spans="1:53" x14ac:dyDescent="0.2">
      <c r="A61" s="1">
        <v>45735</v>
      </c>
      <c r="B61" s="2">
        <v>0.72013888888888899</v>
      </c>
      <c r="C61" s="3">
        <v>68294.16</v>
      </c>
      <c r="E61" t="s">
        <v>72</v>
      </c>
      <c r="F61" t="s">
        <v>53</v>
      </c>
      <c r="G61" t="s">
        <v>73</v>
      </c>
      <c r="H61" t="s">
        <v>250</v>
      </c>
      <c r="I61" t="s">
        <v>75</v>
      </c>
      <c r="J61" t="s">
        <v>76</v>
      </c>
      <c r="K61" t="s">
        <v>77</v>
      </c>
      <c r="L61" t="s">
        <v>59</v>
      </c>
      <c r="N61" s="1">
        <v>45735</v>
      </c>
      <c r="O61" s="2">
        <v>0</v>
      </c>
      <c r="P61" s="3">
        <v>62085.599999999999</v>
      </c>
      <c r="Q61">
        <v>0</v>
      </c>
      <c r="S61" t="s">
        <v>251</v>
      </c>
      <c r="U61" t="s">
        <v>71</v>
      </c>
      <c r="V61">
        <v>3300010805</v>
      </c>
      <c r="Z61">
        <v>32</v>
      </c>
      <c r="AA61">
        <v>32</v>
      </c>
      <c r="AB61">
        <v>0</v>
      </c>
      <c r="AC61" s="3">
        <v>6898.4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3">
        <v>6898.4</v>
      </c>
      <c r="AK61">
        <v>0</v>
      </c>
      <c r="AL61">
        <v>0</v>
      </c>
      <c r="AM61">
        <v>0</v>
      </c>
      <c r="AN61" t="s">
        <v>62</v>
      </c>
      <c r="AT61">
        <v>47821</v>
      </c>
      <c r="AU61" t="s">
        <v>63</v>
      </c>
      <c r="AV61" s="1">
        <v>45758</v>
      </c>
      <c r="AW61" s="2">
        <v>0.72013888888888899</v>
      </c>
    </row>
    <row r="62" spans="1:53" x14ac:dyDescent="0.2">
      <c r="A62" s="1">
        <v>45736</v>
      </c>
      <c r="B62" s="2">
        <v>0.52152777777777781</v>
      </c>
      <c r="C62" s="3">
        <v>3290</v>
      </c>
      <c r="E62" t="s">
        <v>252</v>
      </c>
      <c r="F62" t="s">
        <v>53</v>
      </c>
      <c r="G62" t="s">
        <v>253</v>
      </c>
      <c r="H62" t="s">
        <v>254</v>
      </c>
      <c r="I62" t="s">
        <v>75</v>
      </c>
      <c r="J62" t="s">
        <v>255</v>
      </c>
      <c r="K62" t="s">
        <v>58</v>
      </c>
      <c r="L62" t="s">
        <v>59</v>
      </c>
      <c r="N62" s="1">
        <v>45736</v>
      </c>
      <c r="O62" s="2">
        <v>0</v>
      </c>
      <c r="P62" s="3">
        <v>2990.91</v>
      </c>
      <c r="Q62">
        <v>0</v>
      </c>
      <c r="S62" t="str">
        <f>"0507032083"</f>
        <v>0507032083</v>
      </c>
      <c r="U62" t="s">
        <v>256</v>
      </c>
      <c r="V62">
        <v>9960059923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 t="s">
        <v>62</v>
      </c>
      <c r="AT62">
        <v>47305</v>
      </c>
      <c r="AU62" t="s">
        <v>63</v>
      </c>
      <c r="AV62" s="1">
        <v>45736</v>
      </c>
      <c r="AW62" s="2">
        <v>0.52152777777777781</v>
      </c>
    </row>
    <row r="63" spans="1:53" x14ac:dyDescent="0.2">
      <c r="A63" s="1">
        <v>45737</v>
      </c>
      <c r="B63" s="2">
        <v>0.69027777777777777</v>
      </c>
      <c r="C63" s="3">
        <v>47920.95</v>
      </c>
      <c r="E63" t="s">
        <v>94</v>
      </c>
      <c r="F63" t="s">
        <v>53</v>
      </c>
      <c r="G63" t="s">
        <v>95</v>
      </c>
      <c r="H63" t="s">
        <v>257</v>
      </c>
      <c r="I63" t="s">
        <v>97</v>
      </c>
      <c r="J63" t="s">
        <v>57</v>
      </c>
      <c r="K63" t="s">
        <v>58</v>
      </c>
      <c r="L63" t="s">
        <v>59</v>
      </c>
      <c r="N63" s="1">
        <v>45737</v>
      </c>
      <c r="O63" s="2">
        <v>0</v>
      </c>
      <c r="P63" s="3">
        <v>43564.5</v>
      </c>
      <c r="Q63">
        <v>0</v>
      </c>
      <c r="S63" t="s">
        <v>258</v>
      </c>
      <c r="U63" t="s">
        <v>99</v>
      </c>
      <c r="V63" t="str">
        <f>"0510252318"</f>
        <v>0510252318</v>
      </c>
      <c r="Z63">
        <v>6</v>
      </c>
      <c r="AA63">
        <v>6</v>
      </c>
      <c r="AB63">
        <v>0</v>
      </c>
      <c r="AC63" s="3">
        <v>4840.5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3">
        <v>4840.5</v>
      </c>
      <c r="AK63">
        <v>0</v>
      </c>
      <c r="AL63">
        <v>0</v>
      </c>
      <c r="AM63">
        <v>0</v>
      </c>
      <c r="AN63" t="s">
        <v>62</v>
      </c>
      <c r="AT63">
        <v>48043</v>
      </c>
      <c r="AU63" t="s">
        <v>63</v>
      </c>
      <c r="AV63" s="1">
        <v>45768</v>
      </c>
      <c r="AW63" s="2">
        <v>0.69027777777777777</v>
      </c>
    </row>
    <row r="64" spans="1:53" x14ac:dyDescent="0.2">
      <c r="A64" s="1">
        <v>45737</v>
      </c>
      <c r="B64" s="2">
        <v>0.72430555555555554</v>
      </c>
      <c r="C64" s="3">
        <v>46076.800000000003</v>
      </c>
      <c r="E64" t="s">
        <v>219</v>
      </c>
      <c r="F64" t="s">
        <v>53</v>
      </c>
      <c r="G64" t="s">
        <v>220</v>
      </c>
      <c r="H64" t="s">
        <v>259</v>
      </c>
      <c r="I64" t="s">
        <v>75</v>
      </c>
      <c r="J64" t="s">
        <v>68</v>
      </c>
      <c r="K64" t="s">
        <v>77</v>
      </c>
      <c r="L64" t="s">
        <v>59</v>
      </c>
      <c r="N64" s="1">
        <v>45737</v>
      </c>
      <c r="O64" s="2">
        <v>0</v>
      </c>
      <c r="P64" s="3">
        <v>41888</v>
      </c>
      <c r="Q64">
        <v>0</v>
      </c>
      <c r="S64" t="s">
        <v>260</v>
      </c>
      <c r="U64" t="s">
        <v>71</v>
      </c>
      <c r="V64">
        <v>6220021583</v>
      </c>
      <c r="Z64">
        <v>18</v>
      </c>
      <c r="AA64">
        <v>18</v>
      </c>
      <c r="AB64">
        <v>0</v>
      </c>
      <c r="AC64">
        <v>0</v>
      </c>
      <c r="AD64" s="3">
        <v>10472</v>
      </c>
      <c r="AE64">
        <v>0</v>
      </c>
      <c r="AF64">
        <v>0</v>
      </c>
      <c r="AG64">
        <v>0</v>
      </c>
      <c r="AH64">
        <v>0</v>
      </c>
      <c r="AI64">
        <v>0</v>
      </c>
      <c r="AJ64" s="3">
        <v>10472</v>
      </c>
      <c r="AK64">
        <v>0</v>
      </c>
      <c r="AL64">
        <v>0</v>
      </c>
      <c r="AM64">
        <v>0</v>
      </c>
      <c r="AN64" t="s">
        <v>62</v>
      </c>
      <c r="AT64">
        <v>47822</v>
      </c>
      <c r="AU64" t="s">
        <v>63</v>
      </c>
      <c r="AV64" s="1">
        <v>45758</v>
      </c>
      <c r="AW64" s="2">
        <v>0.72430555555555554</v>
      </c>
      <c r="AX64" t="s">
        <v>63</v>
      </c>
      <c r="AY64" s="1">
        <v>45758</v>
      </c>
      <c r="AZ64" s="2">
        <v>0.72986111111111107</v>
      </c>
    </row>
    <row r="65" spans="1:49" x14ac:dyDescent="0.2">
      <c r="A65" s="1">
        <v>45740</v>
      </c>
      <c r="B65" s="2">
        <v>0.45763888888888887</v>
      </c>
      <c r="C65" s="3">
        <v>39837.599999999999</v>
      </c>
      <c r="E65" t="s">
        <v>72</v>
      </c>
      <c r="F65" t="s">
        <v>53</v>
      </c>
      <c r="G65" t="s">
        <v>73</v>
      </c>
      <c r="H65" t="s">
        <v>261</v>
      </c>
      <c r="I65" t="s">
        <v>75</v>
      </c>
      <c r="J65" t="s">
        <v>76</v>
      </c>
      <c r="K65" t="s">
        <v>77</v>
      </c>
      <c r="L65" t="s">
        <v>59</v>
      </c>
      <c r="N65" s="1">
        <v>45740</v>
      </c>
      <c r="O65" s="2">
        <v>0</v>
      </c>
      <c r="P65" s="3">
        <v>36216</v>
      </c>
      <c r="Q65">
        <v>0</v>
      </c>
      <c r="S65" t="s">
        <v>262</v>
      </c>
      <c r="U65" t="s">
        <v>71</v>
      </c>
      <c r="V65">
        <v>3300010805</v>
      </c>
      <c r="Z65">
        <v>20</v>
      </c>
      <c r="AA65">
        <v>20</v>
      </c>
      <c r="AB65">
        <v>0</v>
      </c>
      <c r="AC65" s="3">
        <v>4024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3">
        <v>4024</v>
      </c>
      <c r="AK65">
        <v>0</v>
      </c>
      <c r="AL65">
        <v>0</v>
      </c>
      <c r="AM65">
        <v>0</v>
      </c>
      <c r="AN65" t="s">
        <v>62</v>
      </c>
      <c r="AT65">
        <v>47825</v>
      </c>
      <c r="AU65" t="s">
        <v>63</v>
      </c>
      <c r="AV65" s="1">
        <v>45759</v>
      </c>
      <c r="AW65" s="2">
        <v>0.45763888888888887</v>
      </c>
    </row>
    <row r="66" spans="1:49" x14ac:dyDescent="0.2">
      <c r="A66" s="1">
        <v>45740</v>
      </c>
      <c r="B66" s="2">
        <v>0.57500000000000007</v>
      </c>
      <c r="C66" s="3">
        <v>132462</v>
      </c>
      <c r="E66" t="s">
        <v>133</v>
      </c>
      <c r="F66" t="s">
        <v>53</v>
      </c>
      <c r="G66" t="s">
        <v>134</v>
      </c>
      <c r="H66" t="s">
        <v>263</v>
      </c>
      <c r="I66" t="s">
        <v>136</v>
      </c>
      <c r="J66" t="s">
        <v>57</v>
      </c>
      <c r="K66" t="s">
        <v>58</v>
      </c>
      <c r="L66" t="s">
        <v>59</v>
      </c>
      <c r="N66" s="1">
        <v>45740</v>
      </c>
      <c r="O66" s="2">
        <v>0</v>
      </c>
      <c r="P66" s="3">
        <v>120420</v>
      </c>
      <c r="Q66">
        <v>0</v>
      </c>
      <c r="S66" t="s">
        <v>264</v>
      </c>
      <c r="U66" t="s">
        <v>104</v>
      </c>
      <c r="V66">
        <v>4630450846</v>
      </c>
      <c r="Z66">
        <v>46</v>
      </c>
      <c r="AA66">
        <v>46</v>
      </c>
      <c r="AB66">
        <v>0</v>
      </c>
      <c r="AC66" s="3">
        <v>13380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3">
        <v>13380</v>
      </c>
      <c r="AK66">
        <v>0</v>
      </c>
      <c r="AL66">
        <v>0</v>
      </c>
      <c r="AM66">
        <v>0</v>
      </c>
      <c r="AN66" t="s">
        <v>62</v>
      </c>
      <c r="AT66">
        <v>48059</v>
      </c>
      <c r="AU66" t="s">
        <v>63</v>
      </c>
      <c r="AV66" s="1">
        <v>45769</v>
      </c>
      <c r="AW66" s="2">
        <v>0.57500000000000007</v>
      </c>
    </row>
    <row r="67" spans="1:49" x14ac:dyDescent="0.2">
      <c r="A67" s="1">
        <v>45740</v>
      </c>
      <c r="B67" s="2">
        <v>0.62361111111111112</v>
      </c>
      <c r="C67" s="3">
        <v>57220.02</v>
      </c>
      <c r="E67" t="s">
        <v>152</v>
      </c>
      <c r="F67" t="s">
        <v>53</v>
      </c>
      <c r="G67" t="s">
        <v>153</v>
      </c>
      <c r="H67" t="s">
        <v>265</v>
      </c>
      <c r="I67" t="s">
        <v>155</v>
      </c>
      <c r="J67" t="s">
        <v>57</v>
      </c>
      <c r="K67" t="s">
        <v>58</v>
      </c>
      <c r="L67" t="s">
        <v>59</v>
      </c>
      <c r="N67" s="1">
        <v>45740</v>
      </c>
      <c r="O67" s="2">
        <v>0</v>
      </c>
      <c r="P67" s="3">
        <v>52018.2</v>
      </c>
      <c r="Q67">
        <v>0</v>
      </c>
      <c r="S67" t="s">
        <v>266</v>
      </c>
      <c r="U67" t="s">
        <v>157</v>
      </c>
      <c r="V67">
        <v>4790044094</v>
      </c>
      <c r="Z67">
        <v>31</v>
      </c>
      <c r="AA67">
        <v>31</v>
      </c>
      <c r="AB67">
        <v>0</v>
      </c>
      <c r="AC67" s="3">
        <v>5779.8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3">
        <v>5779.8</v>
      </c>
      <c r="AK67">
        <v>0</v>
      </c>
      <c r="AL67">
        <v>0</v>
      </c>
      <c r="AM67">
        <v>0</v>
      </c>
      <c r="AN67" t="s">
        <v>62</v>
      </c>
      <c r="AT67">
        <v>47766</v>
      </c>
      <c r="AU67" t="s">
        <v>63</v>
      </c>
      <c r="AV67" s="1">
        <v>45755</v>
      </c>
      <c r="AW67" s="2">
        <v>0.62361111111111112</v>
      </c>
    </row>
    <row r="68" spans="1:49" x14ac:dyDescent="0.2">
      <c r="A68" s="1">
        <v>45740</v>
      </c>
      <c r="B68" s="2">
        <v>0.64027777777777783</v>
      </c>
      <c r="C68" s="3">
        <v>42075</v>
      </c>
      <c r="E68" t="s">
        <v>100</v>
      </c>
      <c r="F68" t="s">
        <v>53</v>
      </c>
      <c r="G68" t="s">
        <v>101</v>
      </c>
      <c r="H68" t="s">
        <v>267</v>
      </c>
      <c r="I68" t="s">
        <v>103</v>
      </c>
      <c r="J68" t="s">
        <v>104</v>
      </c>
      <c r="K68" t="s">
        <v>58</v>
      </c>
      <c r="L68" t="s">
        <v>59</v>
      </c>
      <c r="N68" s="1">
        <v>45740</v>
      </c>
      <c r="O68" s="2">
        <v>0</v>
      </c>
      <c r="P68" s="3">
        <v>38250</v>
      </c>
      <c r="Q68">
        <v>0</v>
      </c>
      <c r="S68" t="s">
        <v>268</v>
      </c>
      <c r="U68" t="s">
        <v>61</v>
      </c>
      <c r="V68">
        <v>34528396314</v>
      </c>
      <c r="Z68">
        <v>15</v>
      </c>
      <c r="AA68">
        <v>15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t="s">
        <v>62</v>
      </c>
      <c r="AT68">
        <v>47871</v>
      </c>
      <c r="AU68" t="s">
        <v>63</v>
      </c>
      <c r="AV68" s="1">
        <v>45761</v>
      </c>
      <c r="AW68" s="2">
        <v>0.64027777777777783</v>
      </c>
    </row>
    <row r="69" spans="1:49" x14ac:dyDescent="0.2">
      <c r="A69" s="1">
        <v>45740</v>
      </c>
      <c r="B69" s="2">
        <v>0.65625</v>
      </c>
      <c r="C69" s="3">
        <v>18968.400000000001</v>
      </c>
      <c r="E69" t="s">
        <v>152</v>
      </c>
      <c r="F69" t="s">
        <v>53</v>
      </c>
      <c r="G69" t="s">
        <v>153</v>
      </c>
      <c r="H69" t="s">
        <v>269</v>
      </c>
      <c r="I69" t="s">
        <v>155</v>
      </c>
      <c r="J69" t="s">
        <v>57</v>
      </c>
      <c r="K69" t="s">
        <v>58</v>
      </c>
      <c r="L69" t="s">
        <v>59</v>
      </c>
      <c r="N69" s="1">
        <v>45740</v>
      </c>
      <c r="O69" s="2">
        <v>0</v>
      </c>
      <c r="P69" s="3">
        <v>17244</v>
      </c>
      <c r="Q69">
        <v>0</v>
      </c>
      <c r="S69" t="s">
        <v>270</v>
      </c>
      <c r="U69" t="s">
        <v>157</v>
      </c>
      <c r="V69">
        <v>4790044094</v>
      </c>
      <c r="Z69">
        <v>12</v>
      </c>
      <c r="AA69">
        <v>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s">
        <v>62</v>
      </c>
      <c r="AT69">
        <v>47742</v>
      </c>
      <c r="AU69" t="s">
        <v>63</v>
      </c>
      <c r="AV69" s="1">
        <v>45754</v>
      </c>
      <c r="AW69" s="2">
        <v>0.65625</v>
      </c>
    </row>
    <row r="70" spans="1:49" x14ac:dyDescent="0.2">
      <c r="A70" s="1">
        <v>45741</v>
      </c>
      <c r="B70" s="2">
        <v>0.55763888888888891</v>
      </c>
      <c r="C70">
        <v>20</v>
      </c>
      <c r="E70" t="s">
        <v>106</v>
      </c>
      <c r="F70" t="s">
        <v>53</v>
      </c>
      <c r="G70" t="s">
        <v>107</v>
      </c>
      <c r="H70" t="s">
        <v>271</v>
      </c>
      <c r="I70" t="s">
        <v>75</v>
      </c>
      <c r="J70" t="s">
        <v>109</v>
      </c>
      <c r="K70" t="s">
        <v>58</v>
      </c>
      <c r="L70" t="s">
        <v>59</v>
      </c>
      <c r="N70" s="1">
        <v>45741</v>
      </c>
      <c r="O70" s="2">
        <v>0</v>
      </c>
      <c r="P70">
        <v>18.18</v>
      </c>
      <c r="Q70">
        <v>0</v>
      </c>
      <c r="S70" t="s">
        <v>208</v>
      </c>
      <c r="U70" t="s">
        <v>111</v>
      </c>
      <c r="V70">
        <v>9990519300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s">
        <v>62</v>
      </c>
      <c r="AT70">
        <v>47398</v>
      </c>
      <c r="AU70" t="s">
        <v>63</v>
      </c>
      <c r="AV70" s="1">
        <v>45741</v>
      </c>
      <c r="AW70" s="2">
        <v>0.55763888888888891</v>
      </c>
    </row>
    <row r="71" spans="1:49" x14ac:dyDescent="0.2">
      <c r="A71" s="1">
        <v>45742</v>
      </c>
      <c r="B71" s="2">
        <v>0.39861111111111108</v>
      </c>
      <c r="C71" s="3">
        <v>2474.98</v>
      </c>
      <c r="E71" t="s">
        <v>64</v>
      </c>
      <c r="F71" t="s">
        <v>53</v>
      </c>
      <c r="G71" t="s">
        <v>65</v>
      </c>
      <c r="H71" t="s">
        <v>272</v>
      </c>
      <c r="I71" t="s">
        <v>67</v>
      </c>
      <c r="J71" t="s">
        <v>68</v>
      </c>
      <c r="K71" t="s">
        <v>69</v>
      </c>
      <c r="L71" t="s">
        <v>59</v>
      </c>
      <c r="N71" s="1">
        <v>45742</v>
      </c>
      <c r="O71" s="2">
        <v>0</v>
      </c>
      <c r="P71" s="3">
        <v>2249.98</v>
      </c>
      <c r="Q71">
        <v>0</v>
      </c>
      <c r="S71" t="s">
        <v>273</v>
      </c>
      <c r="U71" t="s">
        <v>71</v>
      </c>
      <c r="V71">
        <v>7450420635</v>
      </c>
      <c r="Z71">
        <v>1</v>
      </c>
      <c r="AA71">
        <v>1</v>
      </c>
      <c r="AB71">
        <v>0</v>
      </c>
      <c r="AC71">
        <v>250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250</v>
      </c>
      <c r="AK71">
        <v>0</v>
      </c>
      <c r="AL71">
        <v>0</v>
      </c>
      <c r="AM71">
        <v>0</v>
      </c>
      <c r="AN71" t="s">
        <v>62</v>
      </c>
      <c r="AT71">
        <v>47417</v>
      </c>
      <c r="AU71" t="s">
        <v>63</v>
      </c>
      <c r="AV71" s="1">
        <v>45742</v>
      </c>
      <c r="AW71" s="2">
        <v>0.39861111111111108</v>
      </c>
    </row>
    <row r="72" spans="1:49" x14ac:dyDescent="0.2">
      <c r="A72" s="1">
        <v>45742</v>
      </c>
      <c r="B72" s="2">
        <v>0.42083333333333334</v>
      </c>
      <c r="C72" s="3">
        <v>2871</v>
      </c>
      <c r="E72" t="s">
        <v>79</v>
      </c>
      <c r="F72" t="s">
        <v>53</v>
      </c>
      <c r="G72" t="s">
        <v>80</v>
      </c>
      <c r="H72" t="s">
        <v>274</v>
      </c>
      <c r="I72" t="s">
        <v>82</v>
      </c>
      <c r="J72" t="s">
        <v>68</v>
      </c>
      <c r="K72" t="s">
        <v>77</v>
      </c>
      <c r="L72" t="s">
        <v>59</v>
      </c>
      <c r="N72" s="1">
        <v>45742</v>
      </c>
      <c r="O72" s="2">
        <v>0</v>
      </c>
      <c r="P72" s="3">
        <v>2610</v>
      </c>
      <c r="Q72">
        <v>0</v>
      </c>
      <c r="S72" t="s">
        <v>275</v>
      </c>
      <c r="U72" t="s">
        <v>84</v>
      </c>
      <c r="V72">
        <v>4060032834</v>
      </c>
      <c r="Z72">
        <v>1</v>
      </c>
      <c r="AA72">
        <v>1</v>
      </c>
      <c r="AB72">
        <v>0</v>
      </c>
      <c r="AC72">
        <v>290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290</v>
      </c>
      <c r="AK72">
        <v>0</v>
      </c>
      <c r="AL72">
        <v>0</v>
      </c>
      <c r="AM72">
        <v>0</v>
      </c>
      <c r="AN72" t="s">
        <v>62</v>
      </c>
      <c r="AT72">
        <v>47419</v>
      </c>
      <c r="AU72" t="s">
        <v>63</v>
      </c>
      <c r="AV72" s="1">
        <v>45742</v>
      </c>
      <c r="AW72" s="2">
        <v>0.42083333333333334</v>
      </c>
    </row>
    <row r="73" spans="1:49" x14ac:dyDescent="0.2">
      <c r="A73" s="1">
        <v>45742</v>
      </c>
      <c r="B73" s="2">
        <v>0.43402777777777773</v>
      </c>
      <c r="C73" s="3">
        <v>3464.51</v>
      </c>
      <c r="E73" t="s">
        <v>72</v>
      </c>
      <c r="F73" t="s">
        <v>53</v>
      </c>
      <c r="G73" t="s">
        <v>73</v>
      </c>
      <c r="H73" t="s">
        <v>276</v>
      </c>
      <c r="I73" t="s">
        <v>75</v>
      </c>
      <c r="J73" t="s">
        <v>76</v>
      </c>
      <c r="K73" t="s">
        <v>77</v>
      </c>
      <c r="L73" t="s">
        <v>59</v>
      </c>
      <c r="N73" s="1">
        <v>45742</v>
      </c>
      <c r="O73" s="2">
        <v>0</v>
      </c>
      <c r="P73" s="3">
        <v>3149.55</v>
      </c>
      <c r="Q73">
        <v>0</v>
      </c>
      <c r="S73" t="s">
        <v>143</v>
      </c>
      <c r="U73" t="s">
        <v>71</v>
      </c>
      <c r="V73">
        <v>3300010805</v>
      </c>
      <c r="Z73">
        <v>1</v>
      </c>
      <c r="AA73">
        <v>1</v>
      </c>
      <c r="AB73">
        <v>0</v>
      </c>
      <c r="AC73">
        <v>349.95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349.95</v>
      </c>
      <c r="AK73">
        <v>0</v>
      </c>
      <c r="AL73">
        <v>0</v>
      </c>
      <c r="AM73">
        <v>0</v>
      </c>
      <c r="AN73" t="s">
        <v>62</v>
      </c>
      <c r="AT73">
        <v>47420</v>
      </c>
      <c r="AU73" t="s">
        <v>63</v>
      </c>
      <c r="AV73" s="1">
        <v>45742</v>
      </c>
      <c r="AW73" s="2">
        <v>0.43402777777777773</v>
      </c>
    </row>
    <row r="74" spans="1:49" x14ac:dyDescent="0.2">
      <c r="A74" s="1">
        <v>45742</v>
      </c>
      <c r="B74" s="2">
        <v>0.46875</v>
      </c>
      <c r="C74" s="3">
        <v>13662</v>
      </c>
      <c r="E74" t="s">
        <v>117</v>
      </c>
      <c r="F74" t="s">
        <v>53</v>
      </c>
      <c r="G74" t="s">
        <v>118</v>
      </c>
      <c r="H74" t="s">
        <v>277</v>
      </c>
      <c r="I74" t="s">
        <v>120</v>
      </c>
      <c r="J74" t="s">
        <v>121</v>
      </c>
      <c r="K74" t="s">
        <v>77</v>
      </c>
      <c r="L74" t="s">
        <v>59</v>
      </c>
      <c r="N74" s="1">
        <v>45742</v>
      </c>
      <c r="O74" s="2">
        <v>0</v>
      </c>
      <c r="P74" s="3">
        <v>12420</v>
      </c>
      <c r="Q74">
        <v>0</v>
      </c>
      <c r="S74" t="s">
        <v>278</v>
      </c>
      <c r="U74" t="s">
        <v>71</v>
      </c>
      <c r="V74">
        <v>2560064195</v>
      </c>
      <c r="Z74">
        <v>12</v>
      </c>
      <c r="AA74">
        <v>12</v>
      </c>
      <c r="AB74">
        <v>0</v>
      </c>
      <c r="AC74" s="3">
        <v>1380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3">
        <v>1380</v>
      </c>
      <c r="AK74">
        <v>0</v>
      </c>
      <c r="AL74">
        <v>0</v>
      </c>
      <c r="AM74">
        <v>0</v>
      </c>
      <c r="AN74" t="s">
        <v>62</v>
      </c>
      <c r="AT74">
        <v>47826</v>
      </c>
      <c r="AU74" t="s">
        <v>63</v>
      </c>
      <c r="AV74" s="1">
        <v>45759</v>
      </c>
      <c r="AW74" s="2">
        <v>0.46875</v>
      </c>
    </row>
    <row r="75" spans="1:49" x14ac:dyDescent="0.2">
      <c r="A75" s="1">
        <v>45742</v>
      </c>
      <c r="B75" s="2">
        <v>0.69166666666666676</v>
      </c>
      <c r="C75" s="3">
        <v>39956.400000000001</v>
      </c>
      <c r="E75" t="s">
        <v>94</v>
      </c>
      <c r="F75" t="s">
        <v>53</v>
      </c>
      <c r="G75" t="s">
        <v>95</v>
      </c>
      <c r="H75" t="s">
        <v>279</v>
      </c>
      <c r="I75" t="s">
        <v>97</v>
      </c>
      <c r="J75" t="s">
        <v>57</v>
      </c>
      <c r="K75" t="s">
        <v>58</v>
      </c>
      <c r="L75" t="s">
        <v>59</v>
      </c>
      <c r="N75" s="1">
        <v>45742</v>
      </c>
      <c r="O75" s="2">
        <v>0</v>
      </c>
      <c r="P75" s="3">
        <v>36324</v>
      </c>
      <c r="Q75">
        <v>0</v>
      </c>
      <c r="S75" t="s">
        <v>280</v>
      </c>
      <c r="U75" t="s">
        <v>99</v>
      </c>
      <c r="V75" t="str">
        <f>"0510252318"</f>
        <v>0510252318</v>
      </c>
      <c r="Z75">
        <v>4</v>
      </c>
      <c r="AA75">
        <v>4</v>
      </c>
      <c r="AB75">
        <v>0</v>
      </c>
      <c r="AC75" s="3">
        <v>4036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3">
        <v>4036</v>
      </c>
      <c r="AK75">
        <v>0</v>
      </c>
      <c r="AL75">
        <v>0</v>
      </c>
      <c r="AM75">
        <v>0</v>
      </c>
      <c r="AN75" t="s">
        <v>62</v>
      </c>
      <c r="AT75">
        <v>48044</v>
      </c>
      <c r="AU75" t="s">
        <v>63</v>
      </c>
      <c r="AV75" s="1">
        <v>45768</v>
      </c>
      <c r="AW75" s="2">
        <v>0.69166666666666676</v>
      </c>
    </row>
    <row r="76" spans="1:49" x14ac:dyDescent="0.2">
      <c r="A76" s="1">
        <v>45743</v>
      </c>
      <c r="B76" s="2">
        <v>0.50486111111111109</v>
      </c>
      <c r="C76" s="3">
        <v>74646</v>
      </c>
      <c r="E76" t="s">
        <v>177</v>
      </c>
      <c r="F76" t="s">
        <v>53</v>
      </c>
      <c r="G76" t="s">
        <v>178</v>
      </c>
      <c r="H76" t="s">
        <v>281</v>
      </c>
      <c r="I76" t="s">
        <v>180</v>
      </c>
      <c r="J76" t="s">
        <v>181</v>
      </c>
      <c r="K76" t="s">
        <v>77</v>
      </c>
      <c r="L76" t="s">
        <v>59</v>
      </c>
      <c r="N76" s="1">
        <v>45743</v>
      </c>
      <c r="O76" s="2">
        <v>0</v>
      </c>
      <c r="P76" s="3">
        <v>67860</v>
      </c>
      <c r="Q76">
        <v>0</v>
      </c>
      <c r="S76" t="s">
        <v>282</v>
      </c>
      <c r="U76" t="s">
        <v>183</v>
      </c>
      <c r="V76">
        <v>4700088718</v>
      </c>
      <c r="Z76">
        <v>30</v>
      </c>
      <c r="AA76">
        <v>30</v>
      </c>
      <c r="AB76">
        <v>0</v>
      </c>
      <c r="AC76" s="3">
        <v>7540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3">
        <v>7540</v>
      </c>
      <c r="AK76">
        <v>0</v>
      </c>
      <c r="AL76">
        <v>0</v>
      </c>
      <c r="AM76">
        <v>0</v>
      </c>
      <c r="AN76" t="s">
        <v>62</v>
      </c>
      <c r="AT76">
        <v>47679</v>
      </c>
      <c r="AU76" t="s">
        <v>63</v>
      </c>
      <c r="AV76" s="1">
        <v>45752</v>
      </c>
      <c r="AW76" s="2">
        <v>0.50486111111111109</v>
      </c>
    </row>
    <row r="77" spans="1:49" x14ac:dyDescent="0.2">
      <c r="A77" s="1">
        <v>45743</v>
      </c>
      <c r="B77" s="2">
        <v>0.60138888888888886</v>
      </c>
      <c r="C77" s="3">
        <v>13838</v>
      </c>
      <c r="E77" t="s">
        <v>127</v>
      </c>
      <c r="F77" t="s">
        <v>53</v>
      </c>
      <c r="G77" t="s">
        <v>128</v>
      </c>
      <c r="H77" t="s">
        <v>283</v>
      </c>
      <c r="I77" t="s">
        <v>130</v>
      </c>
      <c r="J77" t="s">
        <v>131</v>
      </c>
      <c r="K77" t="s">
        <v>89</v>
      </c>
      <c r="L77" t="s">
        <v>59</v>
      </c>
      <c r="N77" s="1">
        <v>45743</v>
      </c>
      <c r="O77" s="2">
        <v>0</v>
      </c>
      <c r="P77" s="3">
        <v>12580</v>
      </c>
      <c r="Q77">
        <v>0</v>
      </c>
      <c r="S77" t="s">
        <v>284</v>
      </c>
      <c r="U77" t="s">
        <v>88</v>
      </c>
      <c r="V77">
        <v>8940636882</v>
      </c>
      <c r="Z77">
        <v>4</v>
      </c>
      <c r="AA77">
        <v>4</v>
      </c>
      <c r="AB77">
        <v>0</v>
      </c>
      <c r="AC77" s="3">
        <v>2220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3">
        <v>2220</v>
      </c>
      <c r="AK77">
        <v>0</v>
      </c>
      <c r="AL77">
        <v>0</v>
      </c>
      <c r="AM77">
        <v>0</v>
      </c>
      <c r="AN77" t="s">
        <v>62</v>
      </c>
      <c r="AT77">
        <v>48033</v>
      </c>
      <c r="AU77" t="s">
        <v>63</v>
      </c>
      <c r="AV77" s="1">
        <v>45768</v>
      </c>
      <c r="AW77" s="2">
        <v>0.60138888888888886</v>
      </c>
    </row>
    <row r="78" spans="1:49" x14ac:dyDescent="0.2">
      <c r="A78" s="1">
        <v>45743</v>
      </c>
      <c r="B78" s="2">
        <v>0.7270833333333333</v>
      </c>
      <c r="C78" s="3">
        <v>22880</v>
      </c>
      <c r="E78" t="s">
        <v>219</v>
      </c>
      <c r="F78" t="s">
        <v>53</v>
      </c>
      <c r="G78" t="s">
        <v>220</v>
      </c>
      <c r="H78" t="s">
        <v>285</v>
      </c>
      <c r="I78" t="s">
        <v>75</v>
      </c>
      <c r="J78" t="s">
        <v>68</v>
      </c>
      <c r="K78" t="s">
        <v>77</v>
      </c>
      <c r="L78" t="s">
        <v>59</v>
      </c>
      <c r="N78" s="1">
        <v>45743</v>
      </c>
      <c r="O78" s="2">
        <v>0</v>
      </c>
      <c r="P78" s="3">
        <v>20800</v>
      </c>
      <c r="Q78">
        <v>0</v>
      </c>
      <c r="S78" t="s">
        <v>286</v>
      </c>
      <c r="U78" t="s">
        <v>71</v>
      </c>
      <c r="V78">
        <v>6220021583</v>
      </c>
      <c r="Z78">
        <v>8</v>
      </c>
      <c r="AA78">
        <v>8</v>
      </c>
      <c r="AB78">
        <v>0</v>
      </c>
      <c r="AC78">
        <v>0</v>
      </c>
      <c r="AD78" s="3">
        <v>5200</v>
      </c>
      <c r="AE78">
        <v>0</v>
      </c>
      <c r="AF78">
        <v>0</v>
      </c>
      <c r="AG78">
        <v>0</v>
      </c>
      <c r="AH78">
        <v>0</v>
      </c>
      <c r="AI78">
        <v>0</v>
      </c>
      <c r="AJ78" s="3">
        <v>5200</v>
      </c>
      <c r="AK78">
        <v>0</v>
      </c>
      <c r="AL78">
        <v>0</v>
      </c>
      <c r="AM78">
        <v>0</v>
      </c>
      <c r="AN78" t="s">
        <v>62</v>
      </c>
      <c r="AT78">
        <v>47823</v>
      </c>
      <c r="AU78" t="s">
        <v>63</v>
      </c>
      <c r="AV78" s="1">
        <v>45758</v>
      </c>
      <c r="AW78" s="2">
        <v>0.7270833333333333</v>
      </c>
    </row>
    <row r="79" spans="1:49" x14ac:dyDescent="0.2">
      <c r="A79" s="1">
        <v>45747</v>
      </c>
      <c r="B79" s="2">
        <v>0.48194444444444445</v>
      </c>
      <c r="C79" s="3">
        <v>17156.7</v>
      </c>
      <c r="E79" t="s">
        <v>152</v>
      </c>
      <c r="F79" t="s">
        <v>53</v>
      </c>
      <c r="G79" t="s">
        <v>153</v>
      </c>
      <c r="H79" t="s">
        <v>287</v>
      </c>
      <c r="I79" t="s">
        <v>155</v>
      </c>
      <c r="J79" t="s">
        <v>57</v>
      </c>
      <c r="K79" t="s">
        <v>58</v>
      </c>
      <c r="L79" t="s">
        <v>59</v>
      </c>
      <c r="N79" s="1">
        <v>45747</v>
      </c>
      <c r="O79" s="2">
        <v>0</v>
      </c>
      <c r="P79" s="3">
        <v>15597</v>
      </c>
      <c r="Q79">
        <v>0</v>
      </c>
      <c r="S79" t="s">
        <v>288</v>
      </c>
      <c r="U79" t="s">
        <v>157</v>
      </c>
      <c r="V79">
        <v>4790044094</v>
      </c>
      <c r="Z79">
        <v>5</v>
      </c>
      <c r="AA79">
        <v>5</v>
      </c>
      <c r="AB79">
        <v>0</v>
      </c>
      <c r="AC79" s="3">
        <v>1733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3">
        <v>1733</v>
      </c>
      <c r="AK79">
        <v>0</v>
      </c>
      <c r="AL79">
        <v>0</v>
      </c>
      <c r="AM79">
        <v>0</v>
      </c>
      <c r="AN79" t="s">
        <v>62</v>
      </c>
      <c r="AT79">
        <v>47919</v>
      </c>
      <c r="AU79" t="s">
        <v>63</v>
      </c>
      <c r="AV79" s="1">
        <v>45764</v>
      </c>
      <c r="AW79" s="2">
        <v>0.48194444444444445</v>
      </c>
    </row>
    <row r="80" spans="1:49" x14ac:dyDescent="0.2">
      <c r="A80" s="1">
        <v>45747</v>
      </c>
      <c r="B80" s="2">
        <v>0.48472222222222222</v>
      </c>
      <c r="C80" s="3">
        <v>2981.71</v>
      </c>
      <c r="E80" t="s">
        <v>152</v>
      </c>
      <c r="F80" t="s">
        <v>53</v>
      </c>
      <c r="G80" t="s">
        <v>153</v>
      </c>
      <c r="H80" t="s">
        <v>289</v>
      </c>
      <c r="I80" t="s">
        <v>155</v>
      </c>
      <c r="J80" t="s">
        <v>57</v>
      </c>
      <c r="K80" t="s">
        <v>58</v>
      </c>
      <c r="L80" t="s">
        <v>59</v>
      </c>
      <c r="N80" s="1">
        <v>45747</v>
      </c>
      <c r="O80" s="2">
        <v>0</v>
      </c>
      <c r="P80" s="3">
        <v>2484.7600000000002</v>
      </c>
      <c r="Q80">
        <v>0</v>
      </c>
      <c r="S80" t="s">
        <v>166</v>
      </c>
      <c r="U80" t="s">
        <v>157</v>
      </c>
      <c r="V80">
        <v>4790044094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t="s">
        <v>62</v>
      </c>
      <c r="AT80">
        <v>47921</v>
      </c>
      <c r="AU80" t="s">
        <v>63</v>
      </c>
      <c r="AV80" s="1">
        <v>45764</v>
      </c>
      <c r="AW80" s="2">
        <v>0.48472222222222222</v>
      </c>
    </row>
    <row r="81" spans="1:52" x14ac:dyDescent="0.2">
      <c r="A81" s="1">
        <v>45749</v>
      </c>
      <c r="B81" s="2">
        <v>0.61736111111111114</v>
      </c>
      <c r="C81" s="3">
        <v>60869.16</v>
      </c>
      <c r="E81" t="s">
        <v>72</v>
      </c>
      <c r="F81" t="s">
        <v>53</v>
      </c>
      <c r="G81" t="s">
        <v>73</v>
      </c>
      <c r="H81" t="s">
        <v>290</v>
      </c>
      <c r="I81" t="s">
        <v>75</v>
      </c>
      <c r="J81" t="s">
        <v>76</v>
      </c>
      <c r="K81" t="s">
        <v>77</v>
      </c>
      <c r="L81" t="s">
        <v>59</v>
      </c>
      <c r="N81" s="1">
        <v>45749</v>
      </c>
      <c r="O81" s="2">
        <v>0</v>
      </c>
      <c r="P81" s="3">
        <v>55335.6</v>
      </c>
      <c r="Q81">
        <v>0</v>
      </c>
      <c r="S81" t="s">
        <v>291</v>
      </c>
      <c r="U81" t="s">
        <v>71</v>
      </c>
      <c r="V81">
        <v>3300010805</v>
      </c>
      <c r="Z81">
        <v>32</v>
      </c>
      <c r="AA81">
        <v>32</v>
      </c>
      <c r="AB81">
        <v>0</v>
      </c>
      <c r="AC81" s="3">
        <v>6148.4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3">
        <v>6148.4</v>
      </c>
      <c r="AK81">
        <v>0</v>
      </c>
      <c r="AL81">
        <v>0</v>
      </c>
      <c r="AM81">
        <v>0</v>
      </c>
      <c r="AN81" t="s">
        <v>62</v>
      </c>
      <c r="AT81">
        <v>47817</v>
      </c>
      <c r="AU81" t="s">
        <v>63</v>
      </c>
      <c r="AV81" s="1">
        <v>45758</v>
      </c>
      <c r="AW81" s="2">
        <v>0.61736111111111114</v>
      </c>
      <c r="AX81" t="s">
        <v>63</v>
      </c>
      <c r="AY81" s="1">
        <v>45761</v>
      </c>
      <c r="AZ81" s="2">
        <v>0.57500000000000007</v>
      </c>
    </row>
    <row r="82" spans="1:52" x14ac:dyDescent="0.2">
      <c r="A82" s="1">
        <v>45749</v>
      </c>
      <c r="B82" s="2">
        <v>0.69305555555555554</v>
      </c>
      <c r="C82" s="3">
        <v>20878</v>
      </c>
      <c r="E82" t="s">
        <v>52</v>
      </c>
      <c r="F82" t="s">
        <v>53</v>
      </c>
      <c r="G82" t="s">
        <v>54</v>
      </c>
      <c r="H82" t="s">
        <v>292</v>
      </c>
      <c r="I82" t="s">
        <v>56</v>
      </c>
      <c r="J82" t="s">
        <v>57</v>
      </c>
      <c r="K82" t="s">
        <v>58</v>
      </c>
      <c r="L82" t="s">
        <v>59</v>
      </c>
      <c r="N82" s="1">
        <v>45749</v>
      </c>
      <c r="O82" s="2">
        <v>0</v>
      </c>
      <c r="P82" s="3">
        <v>18980</v>
      </c>
      <c r="Q82">
        <v>0</v>
      </c>
      <c r="S82" t="s">
        <v>293</v>
      </c>
      <c r="U82" t="s">
        <v>61</v>
      </c>
      <c r="V82">
        <v>7710000152</v>
      </c>
      <c r="Z82">
        <v>4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s">
        <v>62</v>
      </c>
      <c r="AT82">
        <v>48045</v>
      </c>
      <c r="AU82" t="s">
        <v>63</v>
      </c>
      <c r="AV82" s="1">
        <v>45768</v>
      </c>
      <c r="AW82" s="2">
        <v>0.69305555555555554</v>
      </c>
    </row>
    <row r="83" spans="1:52" x14ac:dyDescent="0.2">
      <c r="A83" s="1">
        <v>45751</v>
      </c>
      <c r="B83" s="2">
        <v>0.65902777777777777</v>
      </c>
      <c r="C83" s="3">
        <v>22132</v>
      </c>
      <c r="E83" t="s">
        <v>219</v>
      </c>
      <c r="F83" t="s">
        <v>53</v>
      </c>
      <c r="G83" t="s">
        <v>220</v>
      </c>
      <c r="H83" t="s">
        <v>294</v>
      </c>
      <c r="I83" t="s">
        <v>75</v>
      </c>
      <c r="J83" t="s">
        <v>68</v>
      </c>
      <c r="K83" t="s">
        <v>77</v>
      </c>
      <c r="L83" t="s">
        <v>59</v>
      </c>
      <c r="N83" s="1">
        <v>45751</v>
      </c>
      <c r="O83" s="2">
        <v>0</v>
      </c>
      <c r="P83" s="3">
        <v>20120</v>
      </c>
      <c r="Q83">
        <v>0</v>
      </c>
      <c r="S83" t="s">
        <v>295</v>
      </c>
      <c r="U83" t="s">
        <v>71</v>
      </c>
      <c r="V83">
        <v>6220021583</v>
      </c>
      <c r="Z83">
        <v>9</v>
      </c>
      <c r="AA83">
        <v>9</v>
      </c>
      <c r="AB83">
        <v>0</v>
      </c>
      <c r="AC83" s="3">
        <v>5030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3">
        <v>5030</v>
      </c>
      <c r="AK83">
        <v>0</v>
      </c>
      <c r="AL83">
        <v>0</v>
      </c>
      <c r="AM83">
        <v>0</v>
      </c>
      <c r="AN83" t="s">
        <v>62</v>
      </c>
      <c r="AT83">
        <v>47941</v>
      </c>
      <c r="AU83" t="s">
        <v>63</v>
      </c>
      <c r="AV83" s="1">
        <v>45764</v>
      </c>
      <c r="AW83" s="2">
        <v>0.65902777777777777</v>
      </c>
    </row>
    <row r="84" spans="1:52" x14ac:dyDescent="0.2">
      <c r="A84" s="1">
        <v>45754</v>
      </c>
      <c r="B84" s="2">
        <v>0.52847222222222223</v>
      </c>
      <c r="C84" s="3">
        <v>30492</v>
      </c>
      <c r="E84" t="s">
        <v>79</v>
      </c>
      <c r="F84" t="s">
        <v>53</v>
      </c>
      <c r="G84" t="s">
        <v>80</v>
      </c>
      <c r="H84" t="s">
        <v>296</v>
      </c>
      <c r="I84" t="s">
        <v>82</v>
      </c>
      <c r="J84" t="s">
        <v>68</v>
      </c>
      <c r="K84" t="s">
        <v>77</v>
      </c>
      <c r="L84" t="s">
        <v>59</v>
      </c>
      <c r="N84" s="1">
        <v>45754</v>
      </c>
      <c r="O84" s="2">
        <v>0</v>
      </c>
      <c r="P84" s="3">
        <v>27720</v>
      </c>
      <c r="Q84">
        <v>0</v>
      </c>
      <c r="S84" t="s">
        <v>297</v>
      </c>
      <c r="U84" t="s">
        <v>84</v>
      </c>
      <c r="V84">
        <v>4060032834</v>
      </c>
      <c r="Z84">
        <v>11</v>
      </c>
      <c r="AA84">
        <v>11</v>
      </c>
      <c r="AB84">
        <v>0</v>
      </c>
      <c r="AC84" s="3">
        <v>3080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3">
        <v>3080</v>
      </c>
      <c r="AK84">
        <v>0</v>
      </c>
      <c r="AL84">
        <v>0</v>
      </c>
      <c r="AM84">
        <v>0</v>
      </c>
      <c r="AN84" t="s">
        <v>62</v>
      </c>
      <c r="AT84">
        <v>47729</v>
      </c>
      <c r="AU84" t="s">
        <v>63</v>
      </c>
      <c r="AV84" s="1">
        <v>45754</v>
      </c>
      <c r="AW84" s="2">
        <v>0.52847222222222223</v>
      </c>
    </row>
    <row r="85" spans="1:52" x14ac:dyDescent="0.2">
      <c r="A85" s="1">
        <v>45754</v>
      </c>
      <c r="B85" s="2">
        <v>0.59513888888888888</v>
      </c>
      <c r="C85" s="3">
        <v>18587.55</v>
      </c>
      <c r="E85" t="s">
        <v>298</v>
      </c>
      <c r="F85" t="s">
        <v>53</v>
      </c>
      <c r="G85" t="s">
        <v>299</v>
      </c>
      <c r="H85" t="s">
        <v>300</v>
      </c>
      <c r="I85" t="s">
        <v>75</v>
      </c>
      <c r="J85" t="s">
        <v>57</v>
      </c>
      <c r="K85" t="s">
        <v>58</v>
      </c>
      <c r="L85" t="s">
        <v>59</v>
      </c>
      <c r="N85" s="1">
        <v>45754</v>
      </c>
      <c r="O85" s="2">
        <v>0</v>
      </c>
      <c r="P85" s="3">
        <v>16897.77</v>
      </c>
      <c r="Q85">
        <v>0</v>
      </c>
      <c r="S85" t="s">
        <v>301</v>
      </c>
      <c r="U85" t="s">
        <v>302</v>
      </c>
      <c r="V85" t="str">
        <f>"0230313347"</f>
        <v>0230313347</v>
      </c>
      <c r="Z85">
        <v>47</v>
      </c>
      <c r="AA85">
        <v>47</v>
      </c>
      <c r="AB85">
        <v>0</v>
      </c>
      <c r="AC85" s="3">
        <v>1877.53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3">
        <v>1877.53</v>
      </c>
      <c r="AK85">
        <v>0</v>
      </c>
      <c r="AL85">
        <v>0</v>
      </c>
      <c r="AM85">
        <v>0</v>
      </c>
      <c r="AN85" t="s">
        <v>62</v>
      </c>
      <c r="AT85">
        <v>47662</v>
      </c>
      <c r="AU85" t="s">
        <v>63</v>
      </c>
      <c r="AV85" s="1">
        <v>45751</v>
      </c>
      <c r="AW85" s="2">
        <v>0.59513888888888888</v>
      </c>
      <c r="AX85" t="s">
        <v>63</v>
      </c>
      <c r="AY85" s="1">
        <v>45754</v>
      </c>
      <c r="AZ85" s="2">
        <v>0.6020833333333333</v>
      </c>
    </row>
    <row r="86" spans="1:52" x14ac:dyDescent="0.2">
      <c r="A86" s="1">
        <v>45755</v>
      </c>
      <c r="B86" s="2">
        <v>0.55138888888888882</v>
      </c>
      <c r="C86" s="3">
        <v>2969.51</v>
      </c>
      <c r="E86" t="s">
        <v>72</v>
      </c>
      <c r="F86" t="s">
        <v>53</v>
      </c>
      <c r="G86" t="s">
        <v>73</v>
      </c>
      <c r="H86" t="s">
        <v>303</v>
      </c>
      <c r="I86" t="s">
        <v>75</v>
      </c>
      <c r="J86" t="s">
        <v>76</v>
      </c>
      <c r="K86" t="s">
        <v>77</v>
      </c>
      <c r="L86" t="s">
        <v>59</v>
      </c>
      <c r="N86" s="1">
        <v>45755</v>
      </c>
      <c r="O86" s="2">
        <v>0</v>
      </c>
      <c r="P86" s="3">
        <v>2699.55</v>
      </c>
      <c r="Q86">
        <v>0</v>
      </c>
      <c r="S86" t="s">
        <v>304</v>
      </c>
      <c r="U86" t="s">
        <v>71</v>
      </c>
      <c r="V86">
        <v>3300010805</v>
      </c>
      <c r="Z86">
        <v>1</v>
      </c>
      <c r="AA86">
        <v>1</v>
      </c>
      <c r="AB86">
        <v>0</v>
      </c>
      <c r="AC86">
        <v>299.95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299.95</v>
      </c>
      <c r="AK86">
        <v>0</v>
      </c>
      <c r="AL86">
        <v>0</v>
      </c>
      <c r="AM86">
        <v>0</v>
      </c>
      <c r="AN86" t="s">
        <v>62</v>
      </c>
      <c r="AT86">
        <v>47760</v>
      </c>
      <c r="AU86" t="s">
        <v>63</v>
      </c>
      <c r="AV86" s="1">
        <v>45755</v>
      </c>
      <c r="AW86" s="2">
        <v>0.55138888888888882</v>
      </c>
    </row>
    <row r="87" spans="1:52" x14ac:dyDescent="0.2">
      <c r="A87" s="1">
        <v>45756</v>
      </c>
      <c r="B87" s="2">
        <v>0.48125000000000001</v>
      </c>
      <c r="C87" s="3">
        <v>10890</v>
      </c>
      <c r="E87" t="s">
        <v>177</v>
      </c>
      <c r="F87" t="s">
        <v>53</v>
      </c>
      <c r="G87" t="s">
        <v>178</v>
      </c>
      <c r="H87" t="s">
        <v>305</v>
      </c>
      <c r="I87" t="s">
        <v>180</v>
      </c>
      <c r="J87" t="s">
        <v>181</v>
      </c>
      <c r="K87" t="s">
        <v>77</v>
      </c>
      <c r="L87" t="s">
        <v>59</v>
      </c>
      <c r="N87" s="1">
        <v>45756</v>
      </c>
      <c r="O87" s="2">
        <v>0</v>
      </c>
      <c r="P87" s="3">
        <v>9900</v>
      </c>
      <c r="Q87">
        <v>0</v>
      </c>
      <c r="S87" t="s">
        <v>306</v>
      </c>
      <c r="U87" t="s">
        <v>183</v>
      </c>
      <c r="V87">
        <v>4700088718</v>
      </c>
      <c r="Z87">
        <v>4</v>
      </c>
      <c r="AA87">
        <v>4</v>
      </c>
      <c r="AB87">
        <v>0</v>
      </c>
      <c r="AC87" s="3">
        <v>1100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3">
        <v>1100</v>
      </c>
      <c r="AK87">
        <v>0</v>
      </c>
      <c r="AL87">
        <v>0</v>
      </c>
      <c r="AM87">
        <v>0</v>
      </c>
      <c r="AN87" t="s">
        <v>62</v>
      </c>
      <c r="AT87">
        <v>48175</v>
      </c>
      <c r="AU87" t="s">
        <v>63</v>
      </c>
      <c r="AV87" s="1">
        <v>45775</v>
      </c>
      <c r="AW87" s="2">
        <v>0.48125000000000001</v>
      </c>
    </row>
    <row r="88" spans="1:52" x14ac:dyDescent="0.2">
      <c r="A88" s="1">
        <v>45756</v>
      </c>
      <c r="B88" s="2">
        <v>0.4826388888888889</v>
      </c>
      <c r="C88" s="3">
        <v>51480</v>
      </c>
      <c r="E88" t="s">
        <v>177</v>
      </c>
      <c r="F88" t="s">
        <v>53</v>
      </c>
      <c r="G88" t="s">
        <v>178</v>
      </c>
      <c r="H88" t="s">
        <v>307</v>
      </c>
      <c r="I88" t="s">
        <v>180</v>
      </c>
      <c r="J88" t="s">
        <v>181</v>
      </c>
      <c r="K88" t="s">
        <v>77</v>
      </c>
      <c r="L88" t="s">
        <v>59</v>
      </c>
      <c r="N88" s="1">
        <v>45756</v>
      </c>
      <c r="O88" s="2">
        <v>0</v>
      </c>
      <c r="P88" s="3">
        <v>46800</v>
      </c>
      <c r="Q88">
        <v>0</v>
      </c>
      <c r="S88" t="s">
        <v>308</v>
      </c>
      <c r="U88" t="s">
        <v>183</v>
      </c>
      <c r="V88">
        <v>4700088718</v>
      </c>
      <c r="Z88">
        <v>16</v>
      </c>
      <c r="AA88">
        <v>16</v>
      </c>
      <c r="AB88">
        <v>0</v>
      </c>
      <c r="AC88" s="3">
        <v>5200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3">
        <v>5200</v>
      </c>
      <c r="AK88">
        <v>0</v>
      </c>
      <c r="AL88">
        <v>0</v>
      </c>
      <c r="AM88">
        <v>0</v>
      </c>
      <c r="AN88" t="s">
        <v>62</v>
      </c>
      <c r="AT88">
        <v>48176</v>
      </c>
      <c r="AU88" t="s">
        <v>63</v>
      </c>
      <c r="AV88" s="1">
        <v>45775</v>
      </c>
      <c r="AW88" s="2">
        <v>0.4826388888888889</v>
      </c>
    </row>
    <row r="89" spans="1:52" x14ac:dyDescent="0.2">
      <c r="A89" s="1">
        <v>45756</v>
      </c>
      <c r="B89" s="2">
        <v>0.56597222222222221</v>
      </c>
      <c r="C89" s="3">
        <v>38948.800000000003</v>
      </c>
      <c r="E89" t="s">
        <v>219</v>
      </c>
      <c r="F89" t="s">
        <v>53</v>
      </c>
      <c r="G89" t="s">
        <v>220</v>
      </c>
      <c r="H89" t="s">
        <v>309</v>
      </c>
      <c r="I89" t="s">
        <v>75</v>
      </c>
      <c r="J89" t="s">
        <v>68</v>
      </c>
      <c r="K89" t="s">
        <v>77</v>
      </c>
      <c r="L89" t="s">
        <v>59</v>
      </c>
      <c r="N89" s="1">
        <v>45756</v>
      </c>
      <c r="O89" s="2">
        <v>0</v>
      </c>
      <c r="P89" s="3">
        <v>35408</v>
      </c>
      <c r="Q89">
        <v>0</v>
      </c>
      <c r="S89" t="s">
        <v>310</v>
      </c>
      <c r="U89" t="s">
        <v>71</v>
      </c>
      <c r="V89">
        <v>6220021583</v>
      </c>
      <c r="Z89">
        <v>18</v>
      </c>
      <c r="AA89">
        <v>18</v>
      </c>
      <c r="AB89">
        <v>0</v>
      </c>
      <c r="AC89">
        <v>0</v>
      </c>
      <c r="AD89" s="3">
        <v>8852</v>
      </c>
      <c r="AE89">
        <v>0</v>
      </c>
      <c r="AF89">
        <v>0</v>
      </c>
      <c r="AG89">
        <v>0</v>
      </c>
      <c r="AH89">
        <v>0</v>
      </c>
      <c r="AI89">
        <v>0</v>
      </c>
      <c r="AJ89" s="3">
        <v>8852</v>
      </c>
      <c r="AK89">
        <v>0</v>
      </c>
      <c r="AL89">
        <v>0</v>
      </c>
      <c r="AM89">
        <v>0</v>
      </c>
      <c r="AN89" t="s">
        <v>62</v>
      </c>
      <c r="AT89">
        <v>48247</v>
      </c>
      <c r="AU89" t="s">
        <v>63</v>
      </c>
      <c r="AV89" s="1">
        <v>45779</v>
      </c>
      <c r="AW89" s="2">
        <v>0.56597222222222221</v>
      </c>
    </row>
    <row r="90" spans="1:52" x14ac:dyDescent="0.2">
      <c r="A90" s="1">
        <v>45756</v>
      </c>
      <c r="B90" s="2">
        <v>0.57986111111111105</v>
      </c>
      <c r="C90" s="3">
        <v>47012.13</v>
      </c>
      <c r="E90" t="s">
        <v>72</v>
      </c>
      <c r="F90" t="s">
        <v>53</v>
      </c>
      <c r="G90" t="s">
        <v>73</v>
      </c>
      <c r="H90" t="s">
        <v>311</v>
      </c>
      <c r="I90" t="s">
        <v>75</v>
      </c>
      <c r="J90" t="s">
        <v>76</v>
      </c>
      <c r="K90" t="s">
        <v>77</v>
      </c>
      <c r="L90" t="s">
        <v>59</v>
      </c>
      <c r="N90" s="1">
        <v>45756</v>
      </c>
      <c r="O90" s="2">
        <v>0</v>
      </c>
      <c r="P90" s="3">
        <v>42738.3</v>
      </c>
      <c r="Q90">
        <v>0</v>
      </c>
      <c r="S90" t="s">
        <v>312</v>
      </c>
      <c r="U90" t="s">
        <v>71</v>
      </c>
      <c r="V90">
        <v>3300010805</v>
      </c>
      <c r="Z90">
        <v>26</v>
      </c>
      <c r="AA90">
        <v>26</v>
      </c>
      <c r="AB90">
        <v>0</v>
      </c>
      <c r="AC90" s="3">
        <v>4748.7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3">
        <v>4748.7</v>
      </c>
      <c r="AK90">
        <v>0</v>
      </c>
      <c r="AL90">
        <v>0</v>
      </c>
      <c r="AM90">
        <v>0</v>
      </c>
      <c r="AN90" t="s">
        <v>62</v>
      </c>
      <c r="AT90">
        <v>48248</v>
      </c>
      <c r="AU90" t="s">
        <v>63</v>
      </c>
      <c r="AV90" s="1">
        <v>45779</v>
      </c>
      <c r="AW90" s="2">
        <v>0.57986111111111105</v>
      </c>
    </row>
    <row r="91" spans="1:52" x14ac:dyDescent="0.2">
      <c r="A91" s="1">
        <v>45757</v>
      </c>
      <c r="B91" s="2">
        <v>0.46388888888888885</v>
      </c>
      <c r="C91" s="3">
        <v>52618.5</v>
      </c>
      <c r="E91" t="s">
        <v>177</v>
      </c>
      <c r="F91" t="s">
        <v>53</v>
      </c>
      <c r="G91" t="s">
        <v>178</v>
      </c>
      <c r="H91" t="s">
        <v>313</v>
      </c>
      <c r="I91" t="s">
        <v>180</v>
      </c>
      <c r="J91" t="s">
        <v>181</v>
      </c>
      <c r="K91" t="s">
        <v>77</v>
      </c>
      <c r="L91" t="s">
        <v>59</v>
      </c>
      <c r="N91" s="1">
        <v>45757</v>
      </c>
      <c r="O91" s="2">
        <v>0</v>
      </c>
      <c r="P91" s="3">
        <v>47835</v>
      </c>
      <c r="Q91">
        <v>0</v>
      </c>
      <c r="S91" t="s">
        <v>314</v>
      </c>
      <c r="U91" t="s">
        <v>183</v>
      </c>
      <c r="V91">
        <v>4700088718</v>
      </c>
      <c r="Z91">
        <v>20</v>
      </c>
      <c r="AA91">
        <v>20</v>
      </c>
      <c r="AB91">
        <v>0</v>
      </c>
      <c r="AC91" s="3">
        <v>5315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3">
        <v>5315</v>
      </c>
      <c r="AK91">
        <v>0</v>
      </c>
      <c r="AL91">
        <v>0</v>
      </c>
      <c r="AM91">
        <v>0</v>
      </c>
      <c r="AN91" t="s">
        <v>62</v>
      </c>
      <c r="AT91">
        <v>47785</v>
      </c>
      <c r="AU91" t="s">
        <v>63</v>
      </c>
      <c r="AV91" s="1">
        <v>45757</v>
      </c>
      <c r="AW91" s="2">
        <v>0.46388888888888885</v>
      </c>
    </row>
    <row r="92" spans="1:52" x14ac:dyDescent="0.2">
      <c r="A92" s="1">
        <v>45757</v>
      </c>
      <c r="B92" s="2">
        <v>0.61597222222222225</v>
      </c>
      <c r="C92" s="3">
        <v>4125.3100000000004</v>
      </c>
      <c r="E92" t="s">
        <v>64</v>
      </c>
      <c r="F92" t="s">
        <v>53</v>
      </c>
      <c r="G92" t="s">
        <v>65</v>
      </c>
      <c r="H92" t="s">
        <v>315</v>
      </c>
      <c r="I92" t="s">
        <v>67</v>
      </c>
      <c r="J92" t="s">
        <v>68</v>
      </c>
      <c r="K92" t="s">
        <v>69</v>
      </c>
      <c r="L92" t="s">
        <v>59</v>
      </c>
      <c r="N92" s="1">
        <v>45757</v>
      </c>
      <c r="O92" s="2">
        <v>0</v>
      </c>
      <c r="P92" s="3">
        <v>3750.28</v>
      </c>
      <c r="Q92">
        <v>0</v>
      </c>
      <c r="S92" t="s">
        <v>168</v>
      </c>
      <c r="U92" t="s">
        <v>71</v>
      </c>
      <c r="V92">
        <v>7450420635</v>
      </c>
      <c r="Z92">
        <v>1</v>
      </c>
      <c r="AA92">
        <v>1</v>
      </c>
      <c r="AB92">
        <v>0</v>
      </c>
      <c r="AC92">
        <v>416.7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416.7</v>
      </c>
      <c r="AK92">
        <v>0</v>
      </c>
      <c r="AL92">
        <v>0</v>
      </c>
      <c r="AM92">
        <v>0</v>
      </c>
      <c r="AN92" t="s">
        <v>62</v>
      </c>
      <c r="AT92">
        <v>48124</v>
      </c>
      <c r="AU92" t="s">
        <v>63</v>
      </c>
      <c r="AV92" s="1">
        <v>45772</v>
      </c>
      <c r="AW92" s="2">
        <v>0.61597222222222225</v>
      </c>
    </row>
    <row r="93" spans="1:52" x14ac:dyDescent="0.2">
      <c r="A93" s="1">
        <v>45761</v>
      </c>
      <c r="B93" s="2">
        <v>0.56736111111111109</v>
      </c>
      <c r="C93">
        <v>0</v>
      </c>
      <c r="E93" t="s">
        <v>198</v>
      </c>
      <c r="F93" t="s">
        <v>53</v>
      </c>
      <c r="G93" t="s">
        <v>199</v>
      </c>
      <c r="H93" t="s">
        <v>316</v>
      </c>
      <c r="I93" t="s">
        <v>75</v>
      </c>
      <c r="J93" t="s">
        <v>201</v>
      </c>
      <c r="K93" t="s">
        <v>202</v>
      </c>
      <c r="L93" t="s">
        <v>59</v>
      </c>
      <c r="N93" s="1">
        <v>45761</v>
      </c>
      <c r="O93" s="2">
        <v>0</v>
      </c>
      <c r="P93">
        <v>0</v>
      </c>
      <c r="Q93">
        <v>0</v>
      </c>
      <c r="S93" t="s">
        <v>317</v>
      </c>
      <c r="U93" t="s">
        <v>204</v>
      </c>
      <c r="V93">
        <v>2931031539</v>
      </c>
      <c r="Z93">
        <v>20</v>
      </c>
      <c r="AA93">
        <v>20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t="s">
        <v>62</v>
      </c>
      <c r="AT93">
        <v>47868</v>
      </c>
      <c r="AU93" t="s">
        <v>63</v>
      </c>
      <c r="AV93" s="1">
        <v>45761</v>
      </c>
      <c r="AW93" s="2">
        <v>0.56736111111111109</v>
      </c>
    </row>
    <row r="94" spans="1:52" x14ac:dyDescent="0.2">
      <c r="A94" s="1">
        <v>45761</v>
      </c>
      <c r="B94" s="2">
        <v>0.57013888888888886</v>
      </c>
      <c r="C94" s="3">
        <v>69630</v>
      </c>
      <c r="E94" t="s">
        <v>100</v>
      </c>
      <c r="F94" t="s">
        <v>53</v>
      </c>
      <c r="G94" t="s">
        <v>101</v>
      </c>
      <c r="H94" t="s">
        <v>318</v>
      </c>
      <c r="I94" t="s">
        <v>103</v>
      </c>
      <c r="J94" t="s">
        <v>104</v>
      </c>
      <c r="K94" t="s">
        <v>58</v>
      </c>
      <c r="L94" t="s">
        <v>59</v>
      </c>
      <c r="N94" s="1">
        <v>45761</v>
      </c>
      <c r="O94" s="2">
        <v>0</v>
      </c>
      <c r="P94" s="3">
        <v>63300</v>
      </c>
      <c r="Q94">
        <v>0</v>
      </c>
      <c r="S94" t="s">
        <v>319</v>
      </c>
      <c r="U94" t="s">
        <v>61</v>
      </c>
      <c r="V94">
        <v>34528396314</v>
      </c>
      <c r="Z94">
        <v>24</v>
      </c>
      <c r="AA94">
        <v>24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s">
        <v>62</v>
      </c>
      <c r="AT94">
        <v>48058</v>
      </c>
      <c r="AU94" t="s">
        <v>63</v>
      </c>
      <c r="AV94" s="1">
        <v>45769</v>
      </c>
      <c r="AW94" s="2">
        <v>0.57013888888888886</v>
      </c>
    </row>
    <row r="95" spans="1:52" x14ac:dyDescent="0.2">
      <c r="A95" s="1">
        <v>45762</v>
      </c>
      <c r="B95" s="2">
        <v>0.49236111111111108</v>
      </c>
      <c r="C95" s="3">
        <v>78417.899999999994</v>
      </c>
      <c r="E95" t="s">
        <v>320</v>
      </c>
      <c r="F95" t="s">
        <v>53</v>
      </c>
      <c r="G95" t="s">
        <v>321</v>
      </c>
      <c r="H95" t="s">
        <v>322</v>
      </c>
      <c r="I95" t="s">
        <v>323</v>
      </c>
      <c r="J95" t="s">
        <v>324</v>
      </c>
      <c r="K95" t="s">
        <v>240</v>
      </c>
      <c r="L95" t="s">
        <v>59</v>
      </c>
      <c r="N95" s="1">
        <v>45762</v>
      </c>
      <c r="O95" s="2">
        <v>0</v>
      </c>
      <c r="P95" s="3">
        <v>71289</v>
      </c>
      <c r="Q95">
        <v>0</v>
      </c>
      <c r="S95" t="s">
        <v>325</v>
      </c>
      <c r="U95" t="s">
        <v>326</v>
      </c>
      <c r="V95">
        <v>8490103392</v>
      </c>
      <c r="Z95">
        <v>78</v>
      </c>
      <c r="AA95">
        <v>78</v>
      </c>
      <c r="AB95">
        <v>0</v>
      </c>
      <c r="AC95" s="3">
        <v>7921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3">
        <v>7921</v>
      </c>
      <c r="AK95">
        <v>0</v>
      </c>
      <c r="AL95">
        <v>0</v>
      </c>
      <c r="AM95">
        <v>0</v>
      </c>
      <c r="AN95" t="s">
        <v>62</v>
      </c>
      <c r="AT95">
        <v>48137</v>
      </c>
      <c r="AU95" t="s">
        <v>63</v>
      </c>
      <c r="AV95" s="1">
        <v>45773</v>
      </c>
      <c r="AW95" s="2">
        <v>0.49236111111111108</v>
      </c>
    </row>
    <row r="96" spans="1:52" x14ac:dyDescent="0.2">
      <c r="A96" s="1">
        <v>45762</v>
      </c>
      <c r="B96" s="2">
        <v>0.59722222222222221</v>
      </c>
      <c r="C96" s="3">
        <v>18000</v>
      </c>
      <c r="E96" t="s">
        <v>327</v>
      </c>
      <c r="F96" t="s">
        <v>53</v>
      </c>
      <c r="G96" t="s">
        <v>328</v>
      </c>
      <c r="H96" t="s">
        <v>329</v>
      </c>
      <c r="I96" t="s">
        <v>330</v>
      </c>
      <c r="J96" t="s">
        <v>331</v>
      </c>
      <c r="K96" t="s">
        <v>332</v>
      </c>
      <c r="L96" t="s">
        <v>59</v>
      </c>
      <c r="N96" s="1">
        <v>45762</v>
      </c>
      <c r="O96" s="2">
        <v>0</v>
      </c>
      <c r="P96" s="3">
        <v>16363.64</v>
      </c>
      <c r="Q96">
        <v>0</v>
      </c>
      <c r="S96" t="s">
        <v>333</v>
      </c>
      <c r="U96" t="s">
        <v>334</v>
      </c>
      <c r="V96">
        <v>7300046744</v>
      </c>
      <c r="Z96">
        <v>13</v>
      </c>
      <c r="AA96">
        <v>13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t="s">
        <v>62</v>
      </c>
      <c r="AT96">
        <v>48083</v>
      </c>
      <c r="AU96" t="s">
        <v>63</v>
      </c>
      <c r="AV96" s="1">
        <v>45770</v>
      </c>
      <c r="AW96" s="2">
        <v>0.59722222222222221</v>
      </c>
    </row>
    <row r="97" spans="1:49" x14ac:dyDescent="0.2">
      <c r="A97" s="1">
        <v>45762</v>
      </c>
      <c r="B97" s="2">
        <v>0.68472222222222223</v>
      </c>
      <c r="C97" s="3">
        <v>66749.41</v>
      </c>
      <c r="E97" t="s">
        <v>52</v>
      </c>
      <c r="F97" t="s">
        <v>53</v>
      </c>
      <c r="G97" t="s">
        <v>54</v>
      </c>
      <c r="H97" t="s">
        <v>335</v>
      </c>
      <c r="I97" t="s">
        <v>56</v>
      </c>
      <c r="J97" t="s">
        <v>57</v>
      </c>
      <c r="K97" t="s">
        <v>58</v>
      </c>
      <c r="L97" t="s">
        <v>59</v>
      </c>
      <c r="N97" s="1">
        <v>45762</v>
      </c>
      <c r="O97" s="2">
        <v>0</v>
      </c>
      <c r="P97" s="3">
        <v>60681.279999999999</v>
      </c>
      <c r="Q97">
        <v>0</v>
      </c>
      <c r="S97" t="s">
        <v>336</v>
      </c>
      <c r="U97" t="s">
        <v>61</v>
      </c>
      <c r="V97">
        <v>7710000152</v>
      </c>
      <c r="Z97">
        <v>10</v>
      </c>
      <c r="AA97">
        <v>10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s">
        <v>62</v>
      </c>
      <c r="AT97">
        <v>47894</v>
      </c>
      <c r="AU97" t="s">
        <v>63</v>
      </c>
      <c r="AV97" s="1">
        <v>45762</v>
      </c>
      <c r="AW97" s="2">
        <v>0.68472222222222223</v>
      </c>
    </row>
    <row r="98" spans="1:49" x14ac:dyDescent="0.2">
      <c r="A98" s="1">
        <v>45763</v>
      </c>
      <c r="B98" s="2">
        <v>0.45416666666666666</v>
      </c>
      <c r="C98" s="3">
        <v>65819.66</v>
      </c>
      <c r="E98" t="s">
        <v>72</v>
      </c>
      <c r="F98" t="s">
        <v>53</v>
      </c>
      <c r="G98" t="s">
        <v>73</v>
      </c>
      <c r="H98" t="s">
        <v>337</v>
      </c>
      <c r="I98" t="s">
        <v>75</v>
      </c>
      <c r="J98" t="s">
        <v>76</v>
      </c>
      <c r="K98" t="s">
        <v>77</v>
      </c>
      <c r="L98" t="s">
        <v>59</v>
      </c>
      <c r="N98" s="1">
        <v>45763</v>
      </c>
      <c r="O98" s="2">
        <v>0</v>
      </c>
      <c r="P98" s="3">
        <v>59836.05</v>
      </c>
      <c r="Q98">
        <v>0</v>
      </c>
      <c r="S98" t="s">
        <v>338</v>
      </c>
      <c r="U98" t="s">
        <v>71</v>
      </c>
      <c r="V98">
        <v>3300010805</v>
      </c>
      <c r="Z98">
        <v>31</v>
      </c>
      <c r="AA98">
        <v>31</v>
      </c>
      <c r="AB98">
        <v>0</v>
      </c>
      <c r="AC98" s="3">
        <v>6648.45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3">
        <v>6648.45</v>
      </c>
      <c r="AK98">
        <v>0</v>
      </c>
      <c r="AL98">
        <v>0</v>
      </c>
      <c r="AM98">
        <v>0</v>
      </c>
      <c r="AN98" t="s">
        <v>62</v>
      </c>
      <c r="AT98">
        <v>48242</v>
      </c>
      <c r="AU98" t="s">
        <v>63</v>
      </c>
      <c r="AV98" s="1">
        <v>45779</v>
      </c>
      <c r="AW98" s="2">
        <v>0.45416666666666666</v>
      </c>
    </row>
    <row r="99" spans="1:49" x14ac:dyDescent="0.2">
      <c r="A99" s="1">
        <v>45763</v>
      </c>
      <c r="B99" s="2">
        <v>0.5625</v>
      </c>
      <c r="C99" s="3">
        <v>53592</v>
      </c>
      <c r="E99" t="s">
        <v>219</v>
      </c>
      <c r="F99" t="s">
        <v>53</v>
      </c>
      <c r="G99" t="s">
        <v>220</v>
      </c>
      <c r="H99" t="s">
        <v>339</v>
      </c>
      <c r="I99" t="s">
        <v>75</v>
      </c>
      <c r="J99" t="s">
        <v>68</v>
      </c>
      <c r="K99" t="s">
        <v>77</v>
      </c>
      <c r="L99" t="s">
        <v>59</v>
      </c>
      <c r="N99" s="1">
        <v>45763</v>
      </c>
      <c r="O99" s="2">
        <v>0</v>
      </c>
      <c r="P99" s="3">
        <v>48720</v>
      </c>
      <c r="Q99">
        <v>0</v>
      </c>
      <c r="S99" t="s">
        <v>340</v>
      </c>
      <c r="U99" t="s">
        <v>71</v>
      </c>
      <c r="V99">
        <v>6220021583</v>
      </c>
      <c r="Z99">
        <v>32</v>
      </c>
      <c r="AA99">
        <v>32</v>
      </c>
      <c r="AB99">
        <v>0</v>
      </c>
      <c r="AC99">
        <v>0</v>
      </c>
      <c r="AD99" s="3">
        <v>12180</v>
      </c>
      <c r="AE99">
        <v>0</v>
      </c>
      <c r="AF99">
        <v>0</v>
      </c>
      <c r="AG99">
        <v>0</v>
      </c>
      <c r="AH99">
        <v>0</v>
      </c>
      <c r="AI99">
        <v>0</v>
      </c>
      <c r="AJ99" s="3">
        <v>12180</v>
      </c>
      <c r="AK99">
        <v>0</v>
      </c>
      <c r="AL99">
        <v>0</v>
      </c>
      <c r="AM99">
        <v>0</v>
      </c>
      <c r="AN99" t="s">
        <v>62</v>
      </c>
      <c r="AT99">
        <v>48079</v>
      </c>
      <c r="AU99" t="s">
        <v>63</v>
      </c>
      <c r="AV99" s="1">
        <v>45770</v>
      </c>
      <c r="AW99" s="2">
        <v>0.5625</v>
      </c>
    </row>
    <row r="100" spans="1:49" x14ac:dyDescent="0.2">
      <c r="A100" s="1">
        <v>45765</v>
      </c>
      <c r="B100" s="2">
        <v>0.50555555555555554</v>
      </c>
      <c r="C100" s="3">
        <v>23650</v>
      </c>
      <c r="E100" t="s">
        <v>177</v>
      </c>
      <c r="F100" t="s">
        <v>53</v>
      </c>
      <c r="G100" t="s">
        <v>178</v>
      </c>
      <c r="H100" t="s">
        <v>341</v>
      </c>
      <c r="I100" t="s">
        <v>180</v>
      </c>
      <c r="J100" t="s">
        <v>181</v>
      </c>
      <c r="K100" t="s">
        <v>77</v>
      </c>
      <c r="L100" t="s">
        <v>59</v>
      </c>
      <c r="N100" s="1">
        <v>45765</v>
      </c>
      <c r="O100" s="2">
        <v>0</v>
      </c>
      <c r="P100" s="3">
        <v>21500</v>
      </c>
      <c r="Q100">
        <v>0</v>
      </c>
      <c r="S100" t="s">
        <v>273</v>
      </c>
      <c r="U100" t="s">
        <v>183</v>
      </c>
      <c r="V100">
        <v>4700088718</v>
      </c>
      <c r="Z100">
        <v>9</v>
      </c>
      <c r="AA100">
        <v>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62</v>
      </c>
      <c r="AT100">
        <v>48266</v>
      </c>
      <c r="AU100" t="s">
        <v>63</v>
      </c>
      <c r="AV100" s="1">
        <v>45780</v>
      </c>
      <c r="AW100" s="2">
        <v>0.50555555555555554</v>
      </c>
    </row>
    <row r="101" spans="1:49" x14ac:dyDescent="0.2">
      <c r="A101" s="1">
        <v>45765</v>
      </c>
      <c r="B101" s="2">
        <v>0.55486111111111114</v>
      </c>
      <c r="C101" s="3">
        <v>104280</v>
      </c>
      <c r="E101" t="s">
        <v>91</v>
      </c>
      <c r="F101" t="s">
        <v>53</v>
      </c>
      <c r="G101" t="s">
        <v>92</v>
      </c>
      <c r="H101" t="s">
        <v>342</v>
      </c>
      <c r="I101" t="s">
        <v>93</v>
      </c>
      <c r="J101" t="s">
        <v>57</v>
      </c>
      <c r="K101" t="s">
        <v>58</v>
      </c>
      <c r="L101" t="s">
        <v>59</v>
      </c>
      <c r="N101" s="1">
        <v>45765</v>
      </c>
      <c r="O101" s="2">
        <v>0</v>
      </c>
      <c r="P101" s="3">
        <v>94800</v>
      </c>
      <c r="Q101">
        <v>0</v>
      </c>
      <c r="S101" t="s">
        <v>343</v>
      </c>
      <c r="U101" t="s">
        <v>61</v>
      </c>
      <c r="V101">
        <v>11828604066</v>
      </c>
      <c r="Z101">
        <v>28</v>
      </c>
      <c r="AA101">
        <v>28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s">
        <v>62</v>
      </c>
      <c r="AT101">
        <v>48100</v>
      </c>
      <c r="AU101" t="s">
        <v>63</v>
      </c>
      <c r="AV101" s="1">
        <v>45771</v>
      </c>
      <c r="AW101" s="2">
        <v>0.55486111111111114</v>
      </c>
    </row>
    <row r="102" spans="1:49" x14ac:dyDescent="0.2">
      <c r="A102" s="1">
        <v>45765</v>
      </c>
      <c r="B102" s="2">
        <v>0.61736111111111114</v>
      </c>
      <c r="C102" s="3">
        <v>2474.98</v>
      </c>
      <c r="E102" t="s">
        <v>64</v>
      </c>
      <c r="F102" t="s">
        <v>53</v>
      </c>
      <c r="G102" t="s">
        <v>65</v>
      </c>
      <c r="H102" t="s">
        <v>344</v>
      </c>
      <c r="I102" t="s">
        <v>67</v>
      </c>
      <c r="J102" t="s">
        <v>68</v>
      </c>
      <c r="K102" t="s">
        <v>69</v>
      </c>
      <c r="L102" t="s">
        <v>59</v>
      </c>
      <c r="N102" s="1">
        <v>45765</v>
      </c>
      <c r="O102" s="2">
        <v>0</v>
      </c>
      <c r="P102" s="3">
        <v>2249.98</v>
      </c>
      <c r="Q102">
        <v>0</v>
      </c>
      <c r="S102" t="s">
        <v>273</v>
      </c>
      <c r="U102" t="s">
        <v>71</v>
      </c>
      <c r="V102">
        <v>7450420635</v>
      </c>
      <c r="Z102">
        <v>1</v>
      </c>
      <c r="AA102">
        <v>1</v>
      </c>
      <c r="AB102">
        <v>0</v>
      </c>
      <c r="AC102">
        <v>250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250</v>
      </c>
      <c r="AK102">
        <v>0</v>
      </c>
      <c r="AL102">
        <v>0</v>
      </c>
      <c r="AM102">
        <v>0</v>
      </c>
      <c r="AN102" t="s">
        <v>62</v>
      </c>
      <c r="AT102">
        <v>48125</v>
      </c>
      <c r="AU102" t="s">
        <v>63</v>
      </c>
      <c r="AV102" s="1">
        <v>45772</v>
      </c>
      <c r="AW102" s="2">
        <v>0.61736111111111114</v>
      </c>
    </row>
    <row r="103" spans="1:49" x14ac:dyDescent="0.2">
      <c r="A103" s="1">
        <v>45765</v>
      </c>
      <c r="B103" s="2">
        <v>0.64236111111111105</v>
      </c>
      <c r="C103" s="3">
        <v>2200</v>
      </c>
      <c r="E103" t="s">
        <v>345</v>
      </c>
      <c r="F103" t="s">
        <v>53</v>
      </c>
      <c r="G103" t="s">
        <v>346</v>
      </c>
      <c r="H103" t="s">
        <v>347</v>
      </c>
      <c r="I103" t="s">
        <v>75</v>
      </c>
      <c r="J103" t="s">
        <v>348</v>
      </c>
      <c r="K103" t="s">
        <v>58</v>
      </c>
      <c r="L103" t="s">
        <v>59</v>
      </c>
      <c r="N103" s="1">
        <v>45765</v>
      </c>
      <c r="O103" s="2">
        <v>0</v>
      </c>
      <c r="P103" s="3">
        <v>2000</v>
      </c>
      <c r="Q103">
        <v>0</v>
      </c>
      <c r="S103" t="s">
        <v>349</v>
      </c>
      <c r="U103" t="s">
        <v>350</v>
      </c>
      <c r="V103">
        <v>3250570018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62</v>
      </c>
      <c r="AT103">
        <v>47957</v>
      </c>
      <c r="AU103" t="s">
        <v>63</v>
      </c>
      <c r="AV103" s="1">
        <v>45765</v>
      </c>
      <c r="AW103" s="2">
        <v>0.64236111111111105</v>
      </c>
    </row>
    <row r="104" spans="1:49" x14ac:dyDescent="0.2">
      <c r="A104" s="1">
        <v>45765</v>
      </c>
      <c r="B104" s="2">
        <v>0.64583333333333337</v>
      </c>
      <c r="C104" s="3">
        <v>1410.75</v>
      </c>
      <c r="E104" t="s">
        <v>351</v>
      </c>
      <c r="F104" t="s">
        <v>53</v>
      </c>
      <c r="G104" t="s">
        <v>352</v>
      </c>
      <c r="H104" t="s">
        <v>353</v>
      </c>
      <c r="I104" t="s">
        <v>75</v>
      </c>
      <c r="J104" t="s">
        <v>104</v>
      </c>
      <c r="K104" t="s">
        <v>58</v>
      </c>
      <c r="L104" t="s">
        <v>59</v>
      </c>
      <c r="N104" s="1">
        <v>45765</v>
      </c>
      <c r="O104" s="2">
        <v>0</v>
      </c>
      <c r="P104" s="3">
        <v>1282.5</v>
      </c>
      <c r="Q104">
        <v>0</v>
      </c>
      <c r="S104" t="s">
        <v>354</v>
      </c>
      <c r="U104" t="s">
        <v>355</v>
      </c>
      <c r="V104">
        <v>7600149177</v>
      </c>
      <c r="Z104">
        <v>1</v>
      </c>
      <c r="AA104">
        <v>1</v>
      </c>
      <c r="AB104">
        <v>0</v>
      </c>
      <c r="AC104">
        <v>67.5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67.5</v>
      </c>
      <c r="AK104">
        <v>0</v>
      </c>
      <c r="AL104">
        <v>0</v>
      </c>
      <c r="AM104">
        <v>0</v>
      </c>
      <c r="AN104" t="s">
        <v>62</v>
      </c>
      <c r="AT104">
        <v>47958</v>
      </c>
      <c r="AU104" t="s">
        <v>63</v>
      </c>
      <c r="AV104" s="1">
        <v>45765</v>
      </c>
      <c r="AW104" s="2">
        <v>0.64583333333333337</v>
      </c>
    </row>
    <row r="105" spans="1:49" x14ac:dyDescent="0.2">
      <c r="A105" s="1">
        <v>45768</v>
      </c>
      <c r="B105" s="2">
        <v>0.4513888888888889</v>
      </c>
      <c r="C105" s="3">
        <v>37608.120000000003</v>
      </c>
      <c r="E105" t="s">
        <v>72</v>
      </c>
      <c r="F105" t="s">
        <v>53</v>
      </c>
      <c r="G105" t="s">
        <v>73</v>
      </c>
      <c r="H105" t="s">
        <v>356</v>
      </c>
      <c r="I105" t="s">
        <v>75</v>
      </c>
      <c r="J105" t="s">
        <v>76</v>
      </c>
      <c r="K105" t="s">
        <v>77</v>
      </c>
      <c r="L105" t="s">
        <v>59</v>
      </c>
      <c r="N105" s="1">
        <v>45768</v>
      </c>
      <c r="O105" s="2">
        <v>0</v>
      </c>
      <c r="P105" s="3">
        <v>34189.199999999997</v>
      </c>
      <c r="Q105">
        <v>0</v>
      </c>
      <c r="S105" t="s">
        <v>357</v>
      </c>
      <c r="U105" t="s">
        <v>71</v>
      </c>
      <c r="V105">
        <v>3300010805</v>
      </c>
      <c r="Z105">
        <v>24</v>
      </c>
      <c r="AA105">
        <v>24</v>
      </c>
      <c r="AB105">
        <v>0</v>
      </c>
      <c r="AC105" s="3">
        <v>3798.8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s="3">
        <v>3798.8</v>
      </c>
      <c r="AK105">
        <v>0</v>
      </c>
      <c r="AL105">
        <v>0</v>
      </c>
      <c r="AM105">
        <v>0</v>
      </c>
      <c r="AN105" t="s">
        <v>62</v>
      </c>
      <c r="AT105">
        <v>48241</v>
      </c>
      <c r="AU105" t="s">
        <v>63</v>
      </c>
      <c r="AV105" s="1">
        <v>45779</v>
      </c>
      <c r="AW105" s="2">
        <v>0.4513888888888889</v>
      </c>
    </row>
    <row r="106" spans="1:49" x14ac:dyDescent="0.2">
      <c r="A106" s="1">
        <v>45768</v>
      </c>
      <c r="B106" s="2">
        <v>0.45833333333333331</v>
      </c>
      <c r="C106" s="3">
        <v>29287.13</v>
      </c>
      <c r="E106" t="s">
        <v>106</v>
      </c>
      <c r="F106" t="s">
        <v>53</v>
      </c>
      <c r="G106" t="s">
        <v>107</v>
      </c>
      <c r="H106" t="s">
        <v>358</v>
      </c>
      <c r="I106" t="s">
        <v>75</v>
      </c>
      <c r="J106" t="s">
        <v>109</v>
      </c>
      <c r="K106" t="s">
        <v>58</v>
      </c>
      <c r="L106" t="s">
        <v>59</v>
      </c>
      <c r="N106" s="1">
        <v>45768</v>
      </c>
      <c r="O106" s="2">
        <v>0</v>
      </c>
      <c r="P106" s="3">
        <v>26624.66</v>
      </c>
      <c r="Q106">
        <v>0</v>
      </c>
      <c r="S106" t="str">
        <f>"0767 ZÜHRE,0767 ZÜHRE,0767 ZÜHRE,0767 ZÜHRE,ZHR 1283 D,ZHR 1283 D,ZHR 1283 D,ZHR 1561 K,ZHR 1561 K,Z"</f>
        <v>0767 ZÜHRE,0767 ZÜHRE,0767 ZÜHRE,0767 ZÜHRE,ZHR 1283 D,ZHR 1283 D,ZHR 1283 D,ZHR 1561 K,ZHR 1561 K,Z</v>
      </c>
      <c r="U106" t="s">
        <v>111</v>
      </c>
      <c r="V106">
        <v>9990519300</v>
      </c>
      <c r="Z106">
        <v>16</v>
      </c>
      <c r="AA106">
        <v>16</v>
      </c>
      <c r="AB106">
        <v>0</v>
      </c>
      <c r="AC106">
        <v>0</v>
      </c>
      <c r="AD106" s="3">
        <v>5657.19</v>
      </c>
      <c r="AE106">
        <v>0</v>
      </c>
      <c r="AF106">
        <v>0</v>
      </c>
      <c r="AG106">
        <v>0</v>
      </c>
      <c r="AH106">
        <v>0</v>
      </c>
      <c r="AI106">
        <v>0</v>
      </c>
      <c r="AJ106" s="3">
        <v>5657.19</v>
      </c>
      <c r="AK106">
        <v>0</v>
      </c>
      <c r="AL106">
        <v>0</v>
      </c>
      <c r="AM106">
        <v>0</v>
      </c>
      <c r="AN106" t="s">
        <v>62</v>
      </c>
      <c r="AT106">
        <v>48243</v>
      </c>
      <c r="AU106" t="s">
        <v>63</v>
      </c>
      <c r="AV106" s="1">
        <v>45779</v>
      </c>
      <c r="AW106" s="2">
        <v>0.45833333333333331</v>
      </c>
    </row>
    <row r="107" spans="1:49" x14ac:dyDescent="0.2">
      <c r="A107" s="1">
        <v>45768</v>
      </c>
      <c r="B107" s="2">
        <v>0.50416666666666665</v>
      </c>
      <c r="C107" s="3">
        <v>3464.51</v>
      </c>
      <c r="E107" t="s">
        <v>72</v>
      </c>
      <c r="F107" t="s">
        <v>53</v>
      </c>
      <c r="G107" t="s">
        <v>73</v>
      </c>
      <c r="H107" t="s">
        <v>359</v>
      </c>
      <c r="I107" t="s">
        <v>75</v>
      </c>
      <c r="J107" t="s">
        <v>76</v>
      </c>
      <c r="K107" t="s">
        <v>77</v>
      </c>
      <c r="L107" t="s">
        <v>59</v>
      </c>
      <c r="N107" s="1">
        <v>45768</v>
      </c>
      <c r="O107" s="2">
        <v>0</v>
      </c>
      <c r="P107" s="3">
        <v>3149.55</v>
      </c>
      <c r="Q107">
        <v>0</v>
      </c>
      <c r="S107" t="s">
        <v>143</v>
      </c>
      <c r="U107" t="s">
        <v>71</v>
      </c>
      <c r="V107">
        <v>3300010805</v>
      </c>
      <c r="Z107">
        <v>1</v>
      </c>
      <c r="AA107">
        <v>1</v>
      </c>
      <c r="AB107">
        <v>0</v>
      </c>
      <c r="AC107">
        <v>349.95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349.95</v>
      </c>
      <c r="AK107">
        <v>0</v>
      </c>
      <c r="AL107">
        <v>0</v>
      </c>
      <c r="AM107">
        <v>0</v>
      </c>
      <c r="AN107" t="s">
        <v>62</v>
      </c>
      <c r="AT107">
        <v>48265</v>
      </c>
      <c r="AU107" t="s">
        <v>63</v>
      </c>
      <c r="AV107" s="1">
        <v>45780</v>
      </c>
      <c r="AW107" s="2">
        <v>0.50416666666666665</v>
      </c>
    </row>
    <row r="108" spans="1:49" x14ac:dyDescent="0.2">
      <c r="A108" s="1">
        <v>45768</v>
      </c>
      <c r="B108" s="2">
        <v>0.7104166666666667</v>
      </c>
      <c r="C108" s="3">
        <v>28160</v>
      </c>
      <c r="E108" t="s">
        <v>219</v>
      </c>
      <c r="F108" t="s">
        <v>53</v>
      </c>
      <c r="G108" t="s">
        <v>220</v>
      </c>
      <c r="H108" t="s">
        <v>360</v>
      </c>
      <c r="I108" t="s">
        <v>75</v>
      </c>
      <c r="J108" t="s">
        <v>68</v>
      </c>
      <c r="K108" t="s">
        <v>77</v>
      </c>
      <c r="L108" t="s">
        <v>59</v>
      </c>
      <c r="N108" s="1">
        <v>45768</v>
      </c>
      <c r="O108" s="2">
        <v>0</v>
      </c>
      <c r="P108" s="3">
        <v>25600</v>
      </c>
      <c r="Q108">
        <v>0</v>
      </c>
      <c r="S108" t="s">
        <v>361</v>
      </c>
      <c r="U108" t="s">
        <v>71</v>
      </c>
      <c r="V108">
        <v>6220021583</v>
      </c>
      <c r="Z108">
        <v>9</v>
      </c>
      <c r="AA108">
        <v>9</v>
      </c>
      <c r="AB108">
        <v>0</v>
      </c>
      <c r="AC108">
        <v>0</v>
      </c>
      <c r="AD108" s="3">
        <v>6400</v>
      </c>
      <c r="AE108">
        <v>0</v>
      </c>
      <c r="AF108">
        <v>0</v>
      </c>
      <c r="AG108">
        <v>0</v>
      </c>
      <c r="AH108">
        <v>0</v>
      </c>
      <c r="AI108">
        <v>0</v>
      </c>
      <c r="AJ108" s="3">
        <v>6400</v>
      </c>
      <c r="AK108">
        <v>0</v>
      </c>
      <c r="AL108">
        <v>0</v>
      </c>
      <c r="AM108">
        <v>0</v>
      </c>
      <c r="AN108" t="s">
        <v>62</v>
      </c>
      <c r="AT108">
        <v>48046</v>
      </c>
      <c r="AU108" t="s">
        <v>63</v>
      </c>
      <c r="AV108" s="1">
        <v>45768</v>
      </c>
      <c r="AW108" s="2">
        <v>0.7104166666666667</v>
      </c>
    </row>
    <row r="109" spans="1:49" x14ac:dyDescent="0.2">
      <c r="A109" s="1">
        <v>45771</v>
      </c>
      <c r="B109" s="2">
        <v>0.56319444444444444</v>
      </c>
      <c r="C109" s="3">
        <v>13349.86</v>
      </c>
      <c r="E109" t="s">
        <v>52</v>
      </c>
      <c r="F109" t="s">
        <v>53</v>
      </c>
      <c r="G109" t="s">
        <v>54</v>
      </c>
      <c r="H109" t="s">
        <v>362</v>
      </c>
      <c r="I109" t="s">
        <v>56</v>
      </c>
      <c r="J109" t="s">
        <v>57</v>
      </c>
      <c r="K109" t="s">
        <v>58</v>
      </c>
      <c r="L109" t="s">
        <v>59</v>
      </c>
      <c r="N109" s="1">
        <v>45771</v>
      </c>
      <c r="O109" s="2">
        <v>0</v>
      </c>
      <c r="P109" s="3">
        <v>12136.24</v>
      </c>
      <c r="Q109">
        <v>0</v>
      </c>
      <c r="S109" t="s">
        <v>363</v>
      </c>
      <c r="U109" t="s">
        <v>61</v>
      </c>
      <c r="V109">
        <v>7710000152</v>
      </c>
      <c r="Z109">
        <v>2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 t="s">
        <v>62</v>
      </c>
      <c r="AT109">
        <v>48102</v>
      </c>
      <c r="AU109" t="s">
        <v>63</v>
      </c>
      <c r="AV109" s="1">
        <v>45771</v>
      </c>
      <c r="AW109" s="2">
        <v>0.56319444444444444</v>
      </c>
    </row>
    <row r="110" spans="1:49" x14ac:dyDescent="0.2">
      <c r="A110" s="1">
        <v>45772</v>
      </c>
      <c r="B110" s="2">
        <v>0.55555555555555558</v>
      </c>
      <c r="C110" s="3">
        <v>1232.55</v>
      </c>
      <c r="E110" t="s">
        <v>117</v>
      </c>
      <c r="F110" t="s">
        <v>53</v>
      </c>
      <c r="G110" t="s">
        <v>118</v>
      </c>
      <c r="H110" t="s">
        <v>364</v>
      </c>
      <c r="I110" t="s">
        <v>120</v>
      </c>
      <c r="J110" t="s">
        <v>121</v>
      </c>
      <c r="K110" t="s">
        <v>77</v>
      </c>
      <c r="L110" t="s">
        <v>59</v>
      </c>
      <c r="N110" s="1">
        <v>45772</v>
      </c>
      <c r="O110" s="2">
        <v>0</v>
      </c>
      <c r="P110" s="3">
        <v>1120.5</v>
      </c>
      <c r="Q110">
        <v>0</v>
      </c>
      <c r="S110" t="s">
        <v>365</v>
      </c>
      <c r="U110" t="s">
        <v>71</v>
      </c>
      <c r="V110">
        <v>2560064195</v>
      </c>
      <c r="Z110">
        <v>1</v>
      </c>
      <c r="AA110">
        <v>1</v>
      </c>
      <c r="AB110">
        <v>0</v>
      </c>
      <c r="AC110">
        <v>124.5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124.5</v>
      </c>
      <c r="AK110">
        <v>0</v>
      </c>
      <c r="AL110">
        <v>0</v>
      </c>
      <c r="AM110">
        <v>0</v>
      </c>
      <c r="AN110" t="s">
        <v>62</v>
      </c>
      <c r="AT110">
        <v>48121</v>
      </c>
      <c r="AU110" t="s">
        <v>63</v>
      </c>
      <c r="AV110" s="1">
        <v>45772</v>
      </c>
      <c r="AW110" s="2">
        <v>0.55555555555555558</v>
      </c>
    </row>
    <row r="111" spans="1:49" x14ac:dyDescent="0.2">
      <c r="A111" s="1">
        <v>45772</v>
      </c>
      <c r="B111" s="2">
        <v>0.5756944444444444</v>
      </c>
      <c r="C111" s="3">
        <v>4159.9799999999996</v>
      </c>
      <c r="E111" t="s">
        <v>152</v>
      </c>
      <c r="F111" t="s">
        <v>53</v>
      </c>
      <c r="G111" t="s">
        <v>153</v>
      </c>
      <c r="H111" t="s">
        <v>366</v>
      </c>
      <c r="I111" t="s">
        <v>155</v>
      </c>
      <c r="J111" t="s">
        <v>57</v>
      </c>
      <c r="K111" t="s">
        <v>58</v>
      </c>
      <c r="L111" t="s">
        <v>59</v>
      </c>
      <c r="N111" s="1">
        <v>45772</v>
      </c>
      <c r="O111" s="2">
        <v>0</v>
      </c>
      <c r="P111" s="3">
        <v>3781.8</v>
      </c>
      <c r="Q111">
        <v>0</v>
      </c>
      <c r="S111" t="s">
        <v>367</v>
      </c>
      <c r="U111" t="s">
        <v>157</v>
      </c>
      <c r="V111">
        <v>4790044094</v>
      </c>
      <c r="Z111">
        <v>2</v>
      </c>
      <c r="AA111">
        <v>2</v>
      </c>
      <c r="AB111">
        <v>0</v>
      </c>
      <c r="AC111">
        <v>420.2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420.2</v>
      </c>
      <c r="AK111">
        <v>0</v>
      </c>
      <c r="AL111">
        <v>0</v>
      </c>
      <c r="AM111">
        <v>0</v>
      </c>
      <c r="AN111" t="s">
        <v>62</v>
      </c>
      <c r="AT111">
        <v>48123</v>
      </c>
      <c r="AU111" t="s">
        <v>63</v>
      </c>
      <c r="AV111" s="1">
        <v>45772</v>
      </c>
      <c r="AW111" s="2">
        <v>0.5756944444444444</v>
      </c>
    </row>
    <row r="112" spans="1:49" x14ac:dyDescent="0.2">
      <c r="A112" s="1">
        <v>45776</v>
      </c>
      <c r="B112" s="2">
        <v>0.61736111111111114</v>
      </c>
      <c r="C112" s="3">
        <v>16327.87</v>
      </c>
      <c r="E112" t="s">
        <v>106</v>
      </c>
      <c r="F112" t="s">
        <v>53</v>
      </c>
      <c r="G112" t="s">
        <v>107</v>
      </c>
      <c r="H112" t="s">
        <v>368</v>
      </c>
      <c r="I112" t="s">
        <v>75</v>
      </c>
      <c r="J112" t="s">
        <v>109</v>
      </c>
      <c r="K112" t="s">
        <v>58</v>
      </c>
      <c r="L112" t="s">
        <v>59</v>
      </c>
      <c r="N112" s="1">
        <v>45776</v>
      </c>
      <c r="O112" s="2">
        <v>0</v>
      </c>
      <c r="P112" s="3">
        <v>14843.52</v>
      </c>
      <c r="Q112">
        <v>0</v>
      </c>
      <c r="S112" t="s">
        <v>233</v>
      </c>
      <c r="U112" t="s">
        <v>111</v>
      </c>
      <c r="V112">
        <v>9990519300</v>
      </c>
      <c r="Z112">
        <v>8</v>
      </c>
      <c r="AA112">
        <v>8</v>
      </c>
      <c r="AB112">
        <v>0</v>
      </c>
      <c r="AC112">
        <v>0</v>
      </c>
      <c r="AD112" s="3">
        <v>3710.88</v>
      </c>
      <c r="AE112">
        <v>0</v>
      </c>
      <c r="AF112">
        <v>0</v>
      </c>
      <c r="AG112">
        <v>0</v>
      </c>
      <c r="AH112">
        <v>0</v>
      </c>
      <c r="AI112">
        <v>0</v>
      </c>
      <c r="AJ112" s="3">
        <v>3710.88</v>
      </c>
      <c r="AK112">
        <v>0</v>
      </c>
      <c r="AL112">
        <v>0</v>
      </c>
      <c r="AM112">
        <v>0</v>
      </c>
      <c r="AN112" t="s">
        <v>62</v>
      </c>
      <c r="AT112">
        <v>48192</v>
      </c>
      <c r="AU112" t="s">
        <v>63</v>
      </c>
      <c r="AV112" s="1">
        <v>45776</v>
      </c>
      <c r="AW112" s="2">
        <v>0.61736111111111114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alış 2 aylık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2025-05-05T09:46:57Z</dcterms:created>
  <dcterms:modified xsi:type="dcterms:W3CDTF">2025-05-05T09:47:42Z</dcterms:modified>
</cp:coreProperties>
</file>